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LHS\Desktop\"/>
    </mc:Choice>
  </mc:AlternateContent>
  <xr:revisionPtr revIDLastSave="0" documentId="13_ncr:1_{24472B3E-7666-43AC-8F0D-14C31855759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메뉴(IA)별 기능명세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7" l="1"/>
  <c r="K4" i="7"/>
  <c r="K3" i="7"/>
  <c r="K2" i="7" l="1"/>
  <c r="K6" i="7" s="1"/>
</calcChain>
</file>

<file path=xl/sharedStrings.xml><?xml version="1.0" encoding="utf-8"?>
<sst xmlns="http://schemas.openxmlformats.org/spreadsheetml/2006/main" count="332" uniqueCount="260">
  <si>
    <t>No</t>
    <phoneticPr fontId="1" type="noConversion"/>
  </si>
  <si>
    <t>1Depth</t>
    <phoneticPr fontId="1" type="noConversion"/>
  </si>
  <si>
    <t>2Depth</t>
    <phoneticPr fontId="1" type="noConversion"/>
  </si>
  <si>
    <t>3Depth</t>
    <phoneticPr fontId="1" type="noConversion"/>
  </si>
  <si>
    <t>목록</t>
    <phoneticPr fontId="1" type="noConversion"/>
  </si>
  <si>
    <t>ID</t>
    <phoneticPr fontId="1" type="noConversion"/>
  </si>
  <si>
    <t>4Depth</t>
    <phoneticPr fontId="1" type="noConversion"/>
  </si>
  <si>
    <t>PMS_MN_01</t>
    <phoneticPr fontId="1" type="noConversion"/>
  </si>
  <si>
    <t>PMS_PM_01</t>
    <phoneticPr fontId="1" type="noConversion"/>
  </si>
  <si>
    <t>PMS_MP_01</t>
    <phoneticPr fontId="1" type="noConversion"/>
  </si>
  <si>
    <t>구성 요소</t>
    <phoneticPr fontId="1" type="noConversion"/>
  </si>
  <si>
    <t>URL</t>
    <phoneticPr fontId="1" type="noConversion"/>
  </si>
  <si>
    <t>/main</t>
    <phoneticPr fontId="1" type="noConversion"/>
  </si>
  <si>
    <t>요구사항 번호</t>
    <phoneticPr fontId="1" type="noConversion"/>
  </si>
  <si>
    <t>SFR-001</t>
    <phoneticPr fontId="1" type="noConversion"/>
  </si>
  <si>
    <t>요구사항 세부내용</t>
    <phoneticPr fontId="1" type="noConversion"/>
  </si>
  <si>
    <t>■ 사업실적과 자금회수율 모니터링 대시보드 기능 개발
- 연단위 사업비, 에너지절감량, 수익률, EERS 절감량 등 주요 경영 지표에 대한 연간 목표값과 실적 집계값을 출력
- 월단위, 연단위 상환 관련 지표 출력(청구금액, 회수금액, 미수금액, 자급회수율 등)
- 계약실적, 프로젝트별 월 상환 현황 등의 데이터를 수집하여 표기하여야 함
- 그래프 등의 시각적인 요소를 활용하여 출력하여야 함</t>
    <phoneticPr fontId="1" type="noConversion"/>
  </si>
  <si>
    <t>■ 신규 프로젝트 생성을 위한 사업접수 기능 개발
- 사업유형(3자간,용역) 선택에 따른 개별 프로세스를 적용하여야 하며 업무흐름도에 따라 순차적인 입력 페이지를 제공하여야 함
- 필수정보 입력 후 저장하여 신규 프로젝트를 생성하며, 선택 정보 입력 시 임시저장 기능 제공하여야 함
- 심의대상 사업 여부에 따른 개별 프로세스를 적용하여아 함
- 사업접수현황 리스트를 별도의 페이지로 출력하여야 함</t>
    <phoneticPr fontId="1" type="noConversion"/>
  </si>
  <si>
    <t>- 필터/텍스트 기반 검색
- 등록/조회된 프로젝트 목록
- 프로젝트 상세 ▶</t>
    <phoneticPr fontId="1" type="noConversion"/>
  </si>
  <si>
    <t>■ 프로젝트별 정보 조회 및 변경이 가능한 프로젝트관리 기능 개발
- 프로젝트의 진행정보(접수, 공사, 해지, 상환, 일시상환, 사업종료(상환종료)를 변경하며 상태값을 출력하여야 함
- 계약, 투자, 상환, 발주 카테고리를 탭 페이지 형식으로 제공하며 카테고리별 정보를 입력하고 조회가 가능하여야 함</t>
    <phoneticPr fontId="1" type="noConversion"/>
  </si>
  <si>
    <t>연동 Point</t>
    <phoneticPr fontId="1" type="noConversion"/>
  </si>
  <si>
    <t>ERP(투자금 지급내역)</t>
    <phoneticPr fontId="1" type="noConversion"/>
  </si>
  <si>
    <t>ERP(상환금 입금내역)</t>
    <phoneticPr fontId="1" type="noConversion"/>
  </si>
  <si>
    <t>- 수주계약 목록
- 계약 상세 ▶</t>
    <phoneticPr fontId="1" type="noConversion"/>
  </si>
  <si>
    <t>- 발주계약 목록
- 계약 상세 ▶</t>
    <phoneticPr fontId="1" type="noConversion"/>
  </si>
  <si>
    <t>SRM(발주계약 정보)</t>
    <phoneticPr fontId="1" type="noConversion"/>
  </si>
  <si>
    <t>- 프로젝트별 상환 현황 목록
- 프로젝트 &gt; 상환관리 ▶</t>
    <phoneticPr fontId="1" type="noConversion"/>
  </si>
  <si>
    <t>- 조회 기간 내 상환(예정) 목록
- 프로젝트 &gt; 상환관리 ▶</t>
    <phoneticPr fontId="1" type="noConversion"/>
  </si>
  <si>
    <t>- 전체 수주계약 프로젝트의 투자비 지급 정보(계약명, 총투자비, 지급액, 잔액 등)를 테이블 형식으로 조회 가능하여야 함
- ERP의 전표정보 데이터를 호출하여 출력하여야 함</t>
    <phoneticPr fontId="1" type="noConversion"/>
  </si>
  <si>
    <r>
      <t xml:space="preserve">- 수주계약 프로젝트의 상환관련 세금계산서 발행정보(계약명, 에너지사용자, 사업비, 총회차, 현재회차 등)를 테이블 형식으로 조회 가능하여야 함
</t>
    </r>
    <r>
      <rPr>
        <sz val="9"/>
        <color rgb="FFFF0000"/>
        <rFont val="나눔고딕"/>
        <family val="3"/>
        <charset val="129"/>
      </rPr>
      <t>- 투자금 지급 관련 세금계산서도 포함</t>
    </r>
    <r>
      <rPr>
        <sz val="9"/>
        <rFont val="나눔고딕"/>
        <family val="3"/>
        <charset val="129"/>
      </rPr>
      <t xml:space="preserve">
- ERP의 전표정보 데이터를 호출하여 출력하여야 함</t>
    </r>
    <phoneticPr fontId="1" type="noConversion"/>
  </si>
  <si>
    <t>- 조회 기간 내 투자금 지급, 상환금 회수 등에 발생된 세금계산서 목록
- 프로젝트 &gt; 상환관리 ▶</t>
    <phoneticPr fontId="1" type="noConversion"/>
  </si>
  <si>
    <t>■ 프로젝트 종료 후 결산정보를 확인할수 있는 사업결산 기능 개발
- 프로젝트 별 결산정보가 조회가능하며 계획대비 실적수익률(IRR)에 대한 결과값을 산출하여 비교가능하여야 함</t>
    <phoneticPr fontId="1" type="noConversion"/>
  </si>
  <si>
    <t>■ 경영실적 목표값을 설정할 수 있는 경영실적목표설정 기능 개발
- 연도별 경영실적 목표값을 설정·수정 가능하여야 함</t>
    <phoneticPr fontId="1" type="noConversion"/>
  </si>
  <si>
    <t>■ 협력업체 정보등록 및 수정이 가능한 협력업체관리 기능 개발
- 협력업체 전체 리스트가 출력되어야 하며, 클릭 시 해당 협력업체의 정보(3개년 기업매출, 부채비율 등) 조회, 등록 및 수정이 가능하여야 함</t>
    <phoneticPr fontId="1" type="noConversion"/>
  </si>
  <si>
    <t>■ 시스템 사용자 정보 및 권한 변경이 가능한 사용자관리 기능 개발
- 사용자별 권한 관리(사용자/관리자), 신규사용자 생성 및 삭제 등의 기능을 제공하여야 함
- 그룹웨어 조직정보와 연동하여 조직정보 변동시 자동으로 반영되어야 함</t>
    <phoneticPr fontId="1" type="noConversion"/>
  </si>
  <si>
    <t>■ 프로젝트 정보 수정·삭제가 가능한 프로젝트 정보관리 기능 개발
- 사업비, 투자비 등 사업관리 정보 변경이 가능하며, 중복프로젝트 삭제 및 프로젝트 담당자 변경(담당자 퇴사 시 이관기능)이 가능하여야 함
- 프로젝트 정보변경 이력관리(로그관리)가 가능하여야 함</t>
    <phoneticPr fontId="1" type="noConversion"/>
  </si>
  <si>
    <t>SFR-002</t>
    <phoneticPr fontId="1" type="noConversion"/>
  </si>
  <si>
    <t>- 종료된 프로젝트 결산 내역 정보</t>
    <phoneticPr fontId="1" type="noConversion"/>
  </si>
  <si>
    <t>신규</t>
    <phoneticPr fontId="1" type="noConversion"/>
  </si>
  <si>
    <t>■ 계약체결 사업 조회 및 사용자 정보 변경가능한 마이페이지 기능 개발
- 사용자의 생성한 프로젝트 리스트를 테이블 형식으로 출력하며, 클릭 시 해당 프로젝트 관리 화면으로 이동가능하여야 함
- 계정 보안 강화를 위한 사용자정보 변경이 가능하여야 함
- 프로젝트의 데이터 수정요청을 등록하고 관리자에게 전달할 수 있어야 함</t>
    <phoneticPr fontId="1" type="noConversion"/>
  </si>
  <si>
    <t>- 사업이 종료(정상/비정상 포함)된 프로젝트 목록
- 사업 결산 상세 ▶</t>
    <phoneticPr fontId="1" type="noConversion"/>
  </si>
  <si>
    <t>- 개인별 출장신청서 목록</t>
    <phoneticPr fontId="1" type="noConversion"/>
  </si>
  <si>
    <t>- 근거리 출장(당일)신청서 작성
- 기본 출장비 산정</t>
    <phoneticPr fontId="1" type="noConversion"/>
  </si>
  <si>
    <t>- 해외출장/해외교육(기간) 신청서 작성</t>
    <phoneticPr fontId="1" type="noConversion"/>
  </si>
  <si>
    <t>- 사원별 정산 내역 통계</t>
    <phoneticPr fontId="1" type="noConversion"/>
  </si>
  <si>
    <t>- 년도/월별 유류단가 설정</t>
    <phoneticPr fontId="1" type="noConversion"/>
  </si>
  <si>
    <t>그룹웨어(출장 상신/품의)</t>
    <phoneticPr fontId="1" type="noConversion"/>
  </si>
  <si>
    <t>PMS_BT_01_01</t>
    <phoneticPr fontId="1" type="noConversion"/>
  </si>
  <si>
    <t>PMS_BT_02</t>
    <phoneticPr fontId="1" type="noConversion"/>
  </si>
  <si>
    <t>PMS_CI_01_01</t>
    <phoneticPr fontId="1" type="noConversion"/>
  </si>
  <si>
    <t>PMS_CI_02_01</t>
    <phoneticPr fontId="1" type="noConversion"/>
  </si>
  <si>
    <t>PMS_BM_02</t>
    <phoneticPr fontId="1" type="noConversion"/>
  </si>
  <si>
    <t>PMS_BC_01_01</t>
    <phoneticPr fontId="1" type="noConversion"/>
  </si>
  <si>
    <t>PMS_BC_01_02</t>
  </si>
  <si>
    <t>/finance/repayment/list</t>
    <phoneticPr fontId="1" type="noConversion"/>
  </si>
  <si>
    <t>켑코이에스 전산시스템(PMS) 메뉴(IA)별 기능명세</t>
    <phoneticPr fontId="1" type="noConversion"/>
  </si>
  <si>
    <t>/closeout/list</t>
    <phoneticPr fontId="1" type="noConversion"/>
  </si>
  <si>
    <t>/closeout/details</t>
    <phoneticPr fontId="1" type="noConversion"/>
  </si>
  <si>
    <t>/mypage/myproject</t>
    <phoneticPr fontId="1" type="noConversion"/>
  </si>
  <si>
    <t>/mypage/data/list</t>
    <phoneticPr fontId="1" type="noConversion"/>
  </si>
  <si>
    <t>관리자 관리</t>
  </si>
  <si>
    <t>권한그룹 및 메뉴별 권한 관리</t>
  </si>
  <si>
    <t>시스템 권한 관리</t>
  </si>
  <si>
    <t>접속 아이피(IP) 관리</t>
  </si>
  <si>
    <t>코드관리</t>
  </si>
  <si>
    <t>로그인 현황</t>
  </si>
  <si>
    <t>메뉴별 접속현황</t>
  </si>
  <si>
    <t>공지사항 관리</t>
  </si>
  <si>
    <t>양식 등 자료실 관리</t>
  </si>
  <si>
    <t>- 그룹웨어의 관리자(직원) 정보를 연동하여 목록/상세정보 제공
- 사용여부, 접속아이피 등 별도 관리
- 관리자(직원) 정보에 권한을 매핑하여 사용</t>
    <phoneticPr fontId="6" type="noConversion"/>
  </si>
  <si>
    <t>- 권한그룹 생성 : 메뉴별 접근 권한 그룹을 생성
- 권한그룹 검색/조회
- 권한그룹에 관리자(직원) 매핑 : 다수개의 권한 그룹에 매핑 가능
- 권한그룹 삭제 : 삭제 유의사항 제공(컨펌 박스)</t>
    <phoneticPr fontId="6" type="noConversion"/>
  </si>
  <si>
    <t>- 메뉴별 권한 그룹으로 해결되지 않는 업무
예) PMS의 경우 변경요청 처리/관리 업무 
예) SRM의 경우 예정가격 입력/관리 업무</t>
    <phoneticPr fontId="6" type="noConversion"/>
  </si>
  <si>
    <t>- 본 시스템에 접근살 수 있는 IP(외부IP) 관리
- 계정정보(아이디/비밀번호)가 일치하더라도 허용된 IP가 아니면 로그인 불가</t>
    <phoneticPr fontId="6" type="noConversion"/>
  </si>
  <si>
    <t>- 시스템 내에서 활용(입력 서식, 처리상태 등)하는 선택정보를 코드로 관리하여 시스템의 확장성 제공
- 기본 3단계(Depth)의 코드관리 체계 구축(개발 시 필요하다면 4단계로 확장할 수 있음)</t>
    <phoneticPr fontId="6" type="noConversion"/>
  </si>
  <si>
    <t>- 본 시스템에 로그인 한 횟수를 기반으로 일/월/연도 기반으로 추이(그래프)와 로우 데이터 제공</t>
    <phoneticPr fontId="6" type="noConversion"/>
  </si>
  <si>
    <t>- 본 시스템의 메뉴별 접속 횟수(페이지 뷰)를 기반으로 일/월/연도 기반으로 추이(그래프)와 로우 데이터 제공</t>
    <phoneticPr fontId="6" type="noConversion"/>
  </si>
  <si>
    <t>- ERP에 등록된 거래처 정보를 연동하여 목록/상세정보 제공
- PMS에서 사용되는 추가정보 관리 : 신용등급, 부채비율, 기업매출, 시공경험, 근로자 수 등
- ERP의 거래처 고유정보와 연동하여 일원화 하여 향후 지급/상환 등의 상황에서 연동 관리할 수 있는 기반 마련</t>
    <phoneticPr fontId="6" type="noConversion"/>
  </si>
  <si>
    <t>- 시스템을 이용하는 사람을 대상으로 한 공지사항
- SRM의 경우 협력업체 공지사항도 포함해서 제공할 수 있도록 함</t>
    <phoneticPr fontId="6" type="noConversion"/>
  </si>
  <si>
    <t>- 시스템을 이용하는 사람을 대상으로 한 자료실
- SRM의 경우 협력업체 자료실도 포함해서 제공할 수 있도록 함</t>
    <phoneticPr fontId="6" type="noConversion"/>
  </si>
  <si>
    <t>PMS_SM_01</t>
    <phoneticPr fontId="1" type="noConversion"/>
  </si>
  <si>
    <t>PMS_SM_03</t>
  </si>
  <si>
    <t>PMS_SM_04</t>
  </si>
  <si>
    <t>PMS_SM_05</t>
  </si>
  <si>
    <t>PMS_SM_06</t>
  </si>
  <si>
    <t>PMS_SM_07</t>
  </si>
  <si>
    <t>PMS_SM_08</t>
  </si>
  <si>
    <t>PMS_SM_09</t>
  </si>
  <si>
    <t>PMS_SM_10</t>
  </si>
  <si>
    <t>- 연도별 경영실적 등록 및 관리</t>
    <phoneticPr fontId="1" type="noConversion"/>
  </si>
  <si>
    <t xml:space="preserve">- 프로젝트 기본정보 </t>
    <phoneticPr fontId="1" type="noConversion"/>
  </si>
  <si>
    <t>- 프로젝트 내 계약관리 정보 
- 심사 / 계약 Process 진행</t>
    <phoneticPr fontId="1" type="noConversion"/>
  </si>
  <si>
    <t>- 프로젝트 내 발주 계약 목록
- 발주계약 상세/관리</t>
    <phoneticPr fontId="1" type="noConversion"/>
  </si>
  <si>
    <t>프로젝트 상세(details)</t>
    <phoneticPr fontId="1" type="noConversion"/>
  </si>
  <si>
    <t>계약(contract)</t>
    <phoneticPr fontId="1" type="noConversion"/>
  </si>
  <si>
    <t>투자(investment)</t>
    <phoneticPr fontId="1" type="noConversion"/>
  </si>
  <si>
    <t>상환(repayment)</t>
    <phoneticPr fontId="1" type="noConversion"/>
  </si>
  <si>
    <t>발주(order)</t>
    <phoneticPr fontId="1" type="noConversion"/>
  </si>
  <si>
    <t>DASHBOARD</t>
    <phoneticPr fontId="1" type="noConversion"/>
  </si>
  <si>
    <t>PMS_BS_01</t>
    <phoneticPr fontId="1" type="noConversion"/>
  </si>
  <si>
    <t>추진(progress)</t>
    <phoneticPr fontId="1" type="noConversion"/>
  </si>
  <si>
    <t>PMS_BM_03</t>
    <phoneticPr fontId="1" type="noConversion"/>
  </si>
  <si>
    <t>PMS_BM_04</t>
    <phoneticPr fontId="1" type="noConversion"/>
  </si>
  <si>
    <t>PMS_MP_02_01</t>
    <phoneticPr fontId="1" type="noConversion"/>
  </si>
  <si>
    <t>PMS_MP_02_02</t>
    <phoneticPr fontId="1" type="noConversion"/>
  </si>
  <si>
    <t>/mypage/data/details</t>
    <phoneticPr fontId="1" type="noConversion"/>
  </si>
  <si>
    <t>그룹웨어(계약 품의 실행)</t>
    <phoneticPr fontId="1" type="noConversion"/>
  </si>
  <si>
    <t>PMS_PM_02_02_01_01</t>
    <phoneticPr fontId="1" type="noConversion"/>
  </si>
  <si>
    <t>PMS_PM_02_02_01_02</t>
  </si>
  <si>
    <t>/contact/purchase/view</t>
    <phoneticPr fontId="1" type="noConversion"/>
  </si>
  <si>
    <t>/contact/purchase/list</t>
    <phoneticPr fontId="1" type="noConversion"/>
  </si>
  <si>
    <t>/contact/purchase/new</t>
    <phoneticPr fontId="1" type="noConversion"/>
  </si>
  <si>
    <t>PMS_CI_02_02</t>
    <phoneticPr fontId="1" type="noConversion"/>
  </si>
  <si>
    <t>/contact/sales/list</t>
    <phoneticPr fontId="1" type="noConversion"/>
  </si>
  <si>
    <t>신규 발주(new)</t>
    <phoneticPr fontId="1" type="noConversion"/>
  </si>
  <si>
    <t>목록(list)</t>
    <phoneticPr fontId="1" type="noConversion"/>
  </si>
  <si>
    <t>상환현황(repayment)</t>
    <phoneticPr fontId="1" type="noConversion"/>
  </si>
  <si>
    <t>/finance/principallist</t>
    <phoneticPr fontId="1" type="noConversion"/>
  </si>
  <si>
    <t>/finance/paymentlist</t>
    <phoneticPr fontId="1" type="noConversion"/>
  </si>
  <si>
    <t>원리금상환내역(principallist)</t>
    <phoneticPr fontId="1" type="noConversion"/>
  </si>
  <si>
    <t>투자비 지급현황(paymentlist)</t>
    <phoneticPr fontId="1" type="noConversion"/>
  </si>
  <si>
    <t>기본 정보(summary)</t>
    <phoneticPr fontId="1" type="noConversion"/>
  </si>
  <si>
    <t>사업 심의(approval)</t>
    <phoneticPr fontId="1" type="noConversion"/>
  </si>
  <si>
    <t>사업 시행(execution)</t>
    <phoneticPr fontId="1" type="noConversion"/>
  </si>
  <si>
    <t>계약 품의(request)</t>
    <phoneticPr fontId="1" type="noConversion"/>
  </si>
  <si>
    <t>계약 체결(finalization)</t>
    <phoneticPr fontId="1" type="noConversion"/>
  </si>
  <si>
    <t>사업결산(list)</t>
    <phoneticPr fontId="1" type="noConversion"/>
  </si>
  <si>
    <t>사업 결산 상세(details)</t>
    <phoneticPr fontId="1" type="noConversion"/>
  </si>
  <si>
    <t>내 프로젝트 현황(myproject)</t>
    <phoneticPr fontId="1" type="noConversion"/>
  </si>
  <si>
    <t>데이터 수정 요청(data)</t>
    <phoneticPr fontId="1" type="noConversion"/>
  </si>
  <si>
    <t>요청 목록(list)</t>
    <phoneticPr fontId="1" type="noConversion"/>
  </si>
  <si>
    <t>요청 상세(details)</t>
    <phoneticPr fontId="1" type="noConversion"/>
  </si>
  <si>
    <t>- 프로젝트 내 투자금 지급 내역
- 투자금 지급 거래처 정보</t>
    <phoneticPr fontId="1" type="noConversion"/>
  </si>
  <si>
    <t>- 프로젝트 내 에너지사용자 상환 
- 상환급 스케줄 / 입금 내역</t>
    <phoneticPr fontId="1" type="noConversion"/>
  </si>
  <si>
    <t>■ 계약체결 리스트를 테이블 형식으로 조회하는 계약 기능 개발
- 수주계약 리스트와 계약별 정보(계약명, 계약명 등)를 출력하여야함
- 발주계약 리스트와 계약별 정보(계약명, 계약명 등)를 출력하여야함
- 전체 수주계약 프로젝트에 대한 상환현황을 테이블 형식으로 조회 가능하여야 함</t>
    <phoneticPr fontId="1" type="noConversion"/>
  </si>
  <si>
    <t>- 신규 발주가 필요한 경우 추가(수주계약이 없는 경우 한정)</t>
    <phoneticPr fontId="1" type="noConversion"/>
  </si>
  <si>
    <t>- 프로젝트 내 계약관련 정보</t>
    <phoneticPr fontId="1" type="noConversion"/>
  </si>
  <si>
    <t>- 프로젝트 내 심의관련 첨부 정보</t>
    <phoneticPr fontId="1" type="noConversion"/>
  </si>
  <si>
    <t>- 프로젝트 전체 DATA / 심의 요청</t>
    <phoneticPr fontId="1" type="noConversion"/>
  </si>
  <si>
    <t>- 사업 시행 진행</t>
    <phoneticPr fontId="1" type="noConversion"/>
  </si>
  <si>
    <t>/business/new</t>
    <phoneticPr fontId="1" type="noConversion"/>
  </si>
  <si>
    <t>PMS_BS_02</t>
    <phoneticPr fontId="1" type="noConversion"/>
  </si>
  <si>
    <t>/business/progresslist</t>
    <phoneticPr fontId="1" type="noConversion"/>
  </si>
  <si>
    <t>- 신규 사업 정보 등록 페이지
- 프로젝트 생성 실행</t>
    <phoneticPr fontId="1" type="noConversion"/>
  </si>
  <si>
    <t>/project/list</t>
    <phoneticPr fontId="1" type="noConversion"/>
  </si>
  <si>
    <t>비고</t>
    <phoneticPr fontId="1" type="noConversion"/>
  </si>
  <si>
    <t>/project/datails/investment</t>
  </si>
  <si>
    <t>/project/datails/repayment</t>
  </si>
  <si>
    <t>HOME(home)</t>
    <phoneticPr fontId="1" type="noConversion"/>
  </si>
  <si>
    <t>PMS_PM_02_01_01</t>
    <phoneticPr fontId="1" type="noConversion"/>
  </si>
  <si>
    <t>프로젝트 관리(project)</t>
    <phoneticPr fontId="1" type="noConversion"/>
  </si>
  <si>
    <t>프로젝트 현황(list)</t>
    <phoneticPr fontId="1" type="noConversion"/>
  </si>
  <si>
    <t>/project/details/progress/summary</t>
  </si>
  <si>
    <t>/project/details/progress/approval</t>
  </si>
  <si>
    <t>/project/details/progress/execution</t>
  </si>
  <si>
    <t>/project/datails/contract/request</t>
  </si>
  <si>
    <t>/project/datails/contract/finalization</t>
  </si>
  <si>
    <t>/project/details/home</t>
    <phoneticPr fontId="1" type="noConversion"/>
  </si>
  <si>
    <t>PMS_PM_02_02_01_04</t>
  </si>
  <si>
    <t>PMS_PM_02_03_01_01</t>
    <phoneticPr fontId="1" type="noConversion"/>
  </si>
  <si>
    <t>PMS_PM_02_04</t>
    <phoneticPr fontId="1" type="noConversion"/>
  </si>
  <si>
    <t>PMS_PM_02_05</t>
    <phoneticPr fontId="1" type="noConversion"/>
  </si>
  <si>
    <t>/project/list/datails/order/list</t>
    <phoneticPr fontId="1" type="noConversion"/>
  </si>
  <si>
    <t>/project/list/datails/order/new</t>
    <phoneticPr fontId="1" type="noConversion"/>
  </si>
  <si>
    <t>PMS_PM_02_06_01</t>
    <phoneticPr fontId="1" type="noConversion"/>
  </si>
  <si>
    <t>PMS_PM_02_06_02</t>
  </si>
  <si>
    <t>PMS_PM_02_02_01_03</t>
    <phoneticPr fontId="1" type="noConversion"/>
  </si>
  <si>
    <t>- 추진 STEP 진행중인 프로젝트 현황(등록 ~ 사업이행 이전)</t>
    <phoneticPr fontId="1" type="noConversion"/>
  </si>
  <si>
    <t>사업 접수(business)</t>
    <phoneticPr fontId="1" type="noConversion"/>
  </si>
  <si>
    <t>* 메뉴 단위 띄어쓰기는 국문 맞춤법 기준입니다.</t>
    <phoneticPr fontId="1" type="noConversion"/>
  </si>
  <si>
    <t>완료</t>
    <phoneticPr fontId="1" type="noConversion"/>
  </si>
  <si>
    <t>전체</t>
    <phoneticPr fontId="1" type="noConversion"/>
  </si>
  <si>
    <t>대기</t>
    <phoneticPr fontId="1" type="noConversion"/>
  </si>
  <si>
    <t>진행중</t>
    <phoneticPr fontId="1" type="noConversion"/>
  </si>
  <si>
    <t>진행률(%)</t>
    <phoneticPr fontId="1" type="noConversion"/>
  </si>
  <si>
    <t>기획 진도율</t>
    <phoneticPr fontId="1" type="noConversion"/>
  </si>
  <si>
    <t>세부 정보(information)</t>
    <phoneticPr fontId="1" type="noConversion"/>
  </si>
  <si>
    <t>/project/details/progress/information</t>
    <phoneticPr fontId="1" type="noConversion"/>
  </si>
  <si>
    <t>협력업체 정보(Partner)</t>
    <phoneticPr fontId="1" type="noConversion"/>
  </si>
  <si>
    <t>/project/details/progress/Partner</t>
    <phoneticPr fontId="1" type="noConversion"/>
  </si>
  <si>
    <t>/contact/purchase/edit</t>
    <phoneticPr fontId="1" type="noConversion"/>
  </si>
  <si>
    <t>- 개별 계약 정보</t>
    <phoneticPr fontId="1" type="noConversion"/>
  </si>
  <si>
    <t>- 개별 계약 정보 수정</t>
    <phoneticPr fontId="1" type="noConversion"/>
  </si>
  <si>
    <t>PMS_CI_02_03</t>
    <phoneticPr fontId="1" type="noConversion"/>
  </si>
  <si>
    <t>PMS_CI_02_04</t>
    <phoneticPr fontId="1" type="noConversion"/>
  </si>
  <si>
    <t>계약 수정(edit)</t>
    <phoneticPr fontId="1" type="noConversion"/>
  </si>
  <si>
    <t>계약 상세(view)</t>
    <phoneticPr fontId="1" type="noConversion"/>
  </si>
  <si>
    <t>계약 목록(list)</t>
    <phoneticPr fontId="1" type="noConversion"/>
  </si>
  <si>
    <t>수주 계약(sales)</t>
    <phoneticPr fontId="1" type="noConversion"/>
  </si>
  <si>
    <t>발주 계약(purchase)</t>
    <phoneticPr fontId="1" type="noConversion"/>
  </si>
  <si>
    <t>계약 관리(contract)</t>
    <phoneticPr fontId="1" type="noConversion"/>
  </si>
  <si>
    <t>신규 등록(new)</t>
    <phoneticPr fontId="1" type="noConversion"/>
  </si>
  <si>
    <t>PMS_BM_01</t>
    <phoneticPr fontId="1" type="noConversion"/>
  </si>
  <si>
    <t>진입(2차 인증)</t>
    <phoneticPr fontId="1" type="noConversion"/>
  </si>
  <si>
    <t>내 정보 수정(account)</t>
    <phoneticPr fontId="1" type="noConversion"/>
  </si>
  <si>
    <t>PMS_MP_03_01</t>
    <phoneticPr fontId="1" type="noConversion"/>
  </si>
  <si>
    <t>PMS_MP_03_02</t>
    <phoneticPr fontId="1" type="noConversion"/>
  </si>
  <si>
    <t>/mypage/data/request</t>
    <phoneticPr fontId="1" type="noConversion"/>
  </si>
  <si>
    <t>신규 요청(request)</t>
    <phoneticPr fontId="1" type="noConversion"/>
  </si>
  <si>
    <t>/mypage/account/verify</t>
    <phoneticPr fontId="1" type="noConversion"/>
  </si>
  <si>
    <t>/mypage/account/update</t>
    <phoneticPr fontId="1" type="noConversion"/>
  </si>
  <si>
    <t>- 개인별 수정 요청 사항 목록
 - 수정 내역/신규 요청 ▶</t>
    <phoneticPr fontId="1" type="noConversion"/>
  </si>
  <si>
    <t>- 담당자 기준, 프로젝트의 현황, 수익률 등 확인
- 프로젝트 관리 ▶</t>
    <phoneticPr fontId="1" type="noConversion"/>
  </si>
  <si>
    <t>- 외부 접근을 위한 계정의 비밀번호 변경</t>
    <phoneticPr fontId="1" type="noConversion"/>
  </si>
  <si>
    <t>통계(statistics)</t>
    <phoneticPr fontId="1" type="noConversion"/>
  </si>
  <si>
    <t>종합 현황(overview)</t>
    <phoneticPr fontId="1" type="noConversion"/>
  </si>
  <si>
    <t>연도별 현황(annual)</t>
    <phoneticPr fontId="1" type="noConversion"/>
  </si>
  <si>
    <t>/statistics/overview</t>
    <phoneticPr fontId="1" type="noConversion"/>
  </si>
  <si>
    <t>/statistics/annual</t>
    <phoneticPr fontId="1" type="noConversion"/>
  </si>
  <si>
    <t>PMS_ST_01</t>
    <phoneticPr fontId="1" type="noConversion"/>
  </si>
  <si>
    <t>PMS_ST_02</t>
  </si>
  <si>
    <t>- 프로젝트 단위 진행사항에 대한 개요, 카드형태의 시각화</t>
    <phoneticPr fontId="1" type="noConversion"/>
  </si>
  <si>
    <t>PMS_PM_02_02_01_05</t>
    <phoneticPr fontId="1" type="noConversion"/>
  </si>
  <si>
    <t>PMS_PM_02_03_01_02</t>
    <phoneticPr fontId="1" type="noConversion"/>
  </si>
  <si>
    <t>PMS_MP_02_03</t>
    <phoneticPr fontId="1" type="noConversion"/>
  </si>
  <si>
    <t>신규 프로젝트 등록(new)</t>
    <phoneticPr fontId="1" type="noConversion"/>
  </si>
  <si>
    <t>추진단계 프로젝트 현황(list)</t>
    <phoneticPr fontId="1" type="noConversion"/>
  </si>
  <si>
    <t>/manage/Code</t>
    <phoneticPr fontId="1" type="noConversion"/>
  </si>
  <si>
    <t>/manage/performance</t>
    <phoneticPr fontId="1" type="noConversion"/>
  </si>
  <si>
    <t>/manage/administrator</t>
    <phoneticPr fontId="1" type="noConversion"/>
  </si>
  <si>
    <t>/manage/permission</t>
    <phoneticPr fontId="1" type="noConversion"/>
  </si>
  <si>
    <t>/manage/system</t>
    <phoneticPr fontId="1" type="noConversion"/>
  </si>
  <si>
    <t>/manage/ip</t>
    <phoneticPr fontId="1" type="noConversion"/>
  </si>
  <si>
    <t>/manage/login</t>
    <phoneticPr fontId="1" type="noConversion"/>
  </si>
  <si>
    <t>/manage/access</t>
    <phoneticPr fontId="1" type="noConversion"/>
  </si>
  <si>
    <t>EPC사 관리</t>
    <phoneticPr fontId="1" type="noConversion"/>
  </si>
  <si>
    <t>/manage/epc</t>
    <phoneticPr fontId="1" type="noConversion"/>
  </si>
  <si>
    <t>/manage/notice</t>
    <phoneticPr fontId="1" type="noConversion"/>
  </si>
  <si>
    <t>/manage/downloads</t>
    <phoneticPr fontId="1" type="noConversion"/>
  </si>
  <si>
    <t>정보 변경</t>
    <phoneticPr fontId="1" type="noConversion"/>
  </si>
  <si>
    <t>PMS 경영목표 관리</t>
    <phoneticPr fontId="1" type="noConversion"/>
  </si>
  <si>
    <t>PMS_BT_01</t>
    <phoneticPr fontId="1" type="noConversion"/>
  </si>
  <si>
    <t>/businesstrip/list</t>
    <phoneticPr fontId="1" type="noConversion"/>
  </si>
  <si>
    <t>- 국내출장/국내교육(기간) 신청서 작성 / - 이동거리 / 기간 산정
- 기본 출장비 산정</t>
    <phoneticPr fontId="1" type="noConversion"/>
  </si>
  <si>
    <t>/businesstrip/list/domestic</t>
    <phoneticPr fontId="1" type="noConversion"/>
  </si>
  <si>
    <t>/businesstrip/list/overseas</t>
    <phoneticPr fontId="1" type="noConversion"/>
  </si>
  <si>
    <t xml:space="preserve">출장 현황 </t>
    <phoneticPr fontId="1" type="noConversion"/>
  </si>
  <si>
    <t>/businesstrip/statistics</t>
    <phoneticPr fontId="1" type="noConversion"/>
  </si>
  <si>
    <t>/businesstrip/list/localtrip</t>
    <phoneticPr fontId="1" type="noConversion"/>
  </si>
  <si>
    <t>PMS_BT_01_02</t>
    <phoneticPr fontId="1" type="noConversion"/>
  </si>
  <si>
    <t>PMS_BT_01_03</t>
    <phoneticPr fontId="1" type="noConversion"/>
  </si>
  <si>
    <t>출장 정산내역</t>
    <phoneticPr fontId="1" type="noConversion"/>
  </si>
  <si>
    <t>계획대비 실적현황(Performance)</t>
    <phoneticPr fontId="1" type="noConversion"/>
  </si>
  <si>
    <t>/finance/Performance</t>
    <phoneticPr fontId="1" type="noConversion"/>
  </si>
  <si>
    <t>- 프로젝트 실행 시 계획된 DATA 기준 실적 현황</t>
    <phoneticPr fontId="1" type="noConversion"/>
  </si>
  <si>
    <t>/businesstrip/settings</t>
    <phoneticPr fontId="1" type="noConversion"/>
  </si>
  <si>
    <t>근거리 출장</t>
    <phoneticPr fontId="1" type="noConversion"/>
  </si>
  <si>
    <t>국내출장/국내교육</t>
    <phoneticPr fontId="1" type="noConversion"/>
  </si>
  <si>
    <t>해외출장/해외교육</t>
    <phoneticPr fontId="1" type="noConversion"/>
  </si>
  <si>
    <r>
      <t xml:space="preserve">- 연간 실적/집계값 등 상환지표에 대한 통계 
- 수익률, 절감량 등 집계 가능한 DATA 노출
</t>
    </r>
    <r>
      <rPr>
        <sz val="9"/>
        <color rgb="FFFF0000"/>
        <rFont val="나눔고딕"/>
        <family val="3"/>
        <charset val="129"/>
      </rPr>
      <t>'- 구성 정보 미정</t>
    </r>
    <r>
      <rPr>
        <sz val="9"/>
        <rFont val="나눔고딕"/>
        <family val="3"/>
        <charset val="129"/>
      </rPr>
      <t xml:space="preserve"> </t>
    </r>
    <r>
      <rPr>
        <sz val="9"/>
        <color rgb="FFFF0000"/>
        <rFont val="나눔고딕"/>
        <family val="3"/>
        <charset val="129"/>
      </rPr>
      <t>-&gt; 수집 가능 DATA 점검 후 최종 단계에서 구성 예정</t>
    </r>
    <phoneticPr fontId="1" type="noConversion"/>
  </si>
  <si>
    <t>공통 관리</t>
    <phoneticPr fontId="1" type="noConversion"/>
  </si>
  <si>
    <t>출장 관리</t>
    <phoneticPr fontId="1" type="noConversion"/>
  </si>
  <si>
    <t>마이 페이지(mypage)</t>
    <phoneticPr fontId="1" type="noConversion"/>
  </si>
  <si>
    <t>사업 결산(closeout)</t>
    <phoneticPr fontId="1" type="noConversion"/>
  </si>
  <si>
    <t>자금 관리(finanace)</t>
    <phoneticPr fontId="1" type="noConversion"/>
  </si>
  <si>
    <t>출장 단가 및 기준설정</t>
    <phoneticPr fontId="1" type="noConversion"/>
  </si>
  <si>
    <t>PMS_SM_02</t>
  </si>
  <si>
    <t>PMS_SM_11</t>
  </si>
  <si>
    <t>PMS_SM_12</t>
    <phoneticPr fontId="1" type="noConversion"/>
  </si>
  <si>
    <t>LOG IN</t>
    <phoneticPr fontId="1" type="noConversion"/>
  </si>
  <si>
    <t>화면설계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</si>
</sst>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9"/>
      <name val="나눔고딕"/>
      <family val="3"/>
      <charset val="129"/>
    </font>
    <font>
      <b/>
      <sz val="9"/>
      <name val="나눔고딕"/>
      <family val="3"/>
      <charset val="129"/>
    </font>
    <font>
      <sz val="9"/>
      <color theme="1"/>
      <name val="맑은 고딕"/>
      <family val="2"/>
      <scheme val="minor"/>
    </font>
    <font>
      <sz val="9"/>
      <color rgb="FFFF0000"/>
      <name val="나눔고딕"/>
      <family val="3"/>
      <charset val="129"/>
    </font>
    <font>
      <sz val="8"/>
      <name val="돋움"/>
      <family val="3"/>
      <charset val="129"/>
    </font>
    <font>
      <sz val="9"/>
      <color theme="1"/>
      <name val="나눔고딕"/>
      <family val="3"/>
      <charset val="129"/>
    </font>
    <font>
      <sz val="9"/>
      <color theme="1" tint="0.249977111117893"/>
      <name val="나눔고딕"/>
      <family val="3"/>
      <charset val="129"/>
    </font>
    <font>
      <b/>
      <u/>
      <sz val="12"/>
      <name val="나눔고딕"/>
      <family val="3"/>
      <charset val="129"/>
    </font>
    <font>
      <sz val="11"/>
      <color theme="1"/>
      <name val="맑은 고딕"/>
      <family val="2"/>
      <scheme val="minor"/>
    </font>
    <font>
      <b/>
      <sz val="11"/>
      <name val="나눔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</fills>
  <borders count="21">
    <border>
      <left/>
      <right/>
      <top/>
      <bottom/>
      <diagonal/>
    </border>
    <border>
      <left style="medium">
        <color theme="0" tint="-0.499984740745262"/>
      </left>
      <right style="hair">
        <color theme="0" tint="-0.499984740745262"/>
      </right>
      <top style="medium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medium">
        <color theme="0" tint="-0.499984740745262"/>
      </top>
      <bottom style="hair">
        <color theme="0" tint="-0.499984740745262"/>
      </bottom>
      <diagonal/>
    </border>
    <border>
      <left style="medium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medium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medium">
        <color theme="0" tint="-0.499984740745262"/>
      </left>
      <right style="hair">
        <color theme="0" tint="-0.499984740745262"/>
      </right>
      <top style="hair">
        <color theme="0" tint="-0.499984740745262"/>
      </top>
      <bottom style="medium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medium">
        <color theme="0" tint="-0.499984740745262"/>
      </bottom>
      <diagonal/>
    </border>
    <border>
      <left style="hair">
        <color theme="0" tint="-0.499984740745262"/>
      </left>
      <right style="medium">
        <color theme="0" tint="-0.499984740745262"/>
      </right>
      <top style="hair">
        <color theme="0" tint="-0.499984740745262"/>
      </top>
      <bottom style="medium">
        <color theme="0" tint="-0.499984740745262"/>
      </bottom>
      <diagonal/>
    </border>
    <border>
      <left style="thin">
        <color rgb="FFBFBFBF"/>
      </left>
      <right style="medium">
        <color rgb="FFBFBFBF"/>
      </right>
      <top style="medium">
        <color theme="0" tint="-0.499984740745262"/>
      </top>
      <bottom style="medium">
        <color theme="0" tint="-0.499984740745262"/>
      </bottom>
      <diagonal/>
    </border>
    <border>
      <left style="hair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hair">
        <color theme="0" tint="-0.499984740745262"/>
      </bottom>
      <diagonal/>
    </border>
    <border>
      <left style="thin">
        <color rgb="FFBFBFBF"/>
      </left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theme="0" tint="-0.499984740745262"/>
      </left>
      <right style="thin">
        <color rgb="FFBFBFBF"/>
      </right>
      <top style="medium">
        <color theme="0" tint="-0.499984740745262"/>
      </top>
      <bottom style="medium">
        <color theme="0" tint="-0.499984740745262"/>
      </bottom>
      <diagonal/>
    </border>
    <border>
      <left style="thin">
        <color rgb="FFBFBFBF"/>
      </left>
      <right style="thin">
        <color rgb="FFBFBFBF"/>
      </right>
      <top style="medium">
        <color theme="0" tint="-0.499984740745262"/>
      </top>
      <bottom style="medium">
        <color theme="0" tint="-0.499984740745262"/>
      </bottom>
      <diagonal/>
    </border>
    <border>
      <left style="thin">
        <color rgb="FFBFBFBF"/>
      </left>
      <right/>
      <top style="medium">
        <color theme="0" tint="-0.499984740745262"/>
      </top>
      <bottom style="medium">
        <color theme="0" tint="-0.499984740745262"/>
      </bottom>
      <diagonal/>
    </border>
  </borders>
  <cellStyleXfs count="2">
    <xf numFmtId="0" fontId="0" fillId="0" borderId="0"/>
    <xf numFmtId="9" fontId="10" fillId="0" borderId="0" applyFont="0" applyFill="0" applyBorder="0" applyAlignment="0" applyProtection="0">
      <alignment vertical="center"/>
    </xf>
  </cellStyleXfs>
  <cellXfs count="62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2" fillId="2" borderId="4" xfId="0" applyFont="1" applyFill="1" applyBorder="1" applyAlignment="1">
      <alignment horizontal="left" vertical="center" wrapText="1"/>
    </xf>
    <xf numFmtId="0" fontId="2" fillId="4" borderId="4" xfId="0" applyFont="1" applyFill="1" applyBorder="1" applyAlignment="1">
      <alignment horizontal="left" vertical="center" wrapText="1"/>
    </xf>
    <xf numFmtId="0" fontId="2" fillId="2" borderId="4" xfId="0" quotePrefix="1" applyFont="1" applyFill="1" applyBorder="1" applyAlignment="1">
      <alignment horizontal="left" vertical="center" wrapText="1"/>
    </xf>
    <xf numFmtId="0" fontId="2" fillId="2" borderId="2" xfId="0" quotePrefix="1" applyFont="1" applyFill="1" applyBorder="1" applyAlignment="1">
      <alignment horizontal="left" vertical="center" wrapText="1"/>
    </xf>
    <xf numFmtId="0" fontId="4" fillId="0" borderId="0" xfId="0" applyFont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vertical="center"/>
    </xf>
    <xf numFmtId="0" fontId="2" fillId="4" borderId="2" xfId="0" applyFont="1" applyFill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3" fillId="4" borderId="3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 wrapText="1"/>
    </xf>
    <xf numFmtId="0" fontId="3" fillId="2" borderId="0" xfId="0" applyFont="1" applyFill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left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3" fillId="3" borderId="9" xfId="0" applyFont="1" applyFill="1" applyBorder="1" applyAlignment="1">
      <alignment horizontal="center" vertical="center" wrapText="1"/>
    </xf>
    <xf numFmtId="0" fontId="2" fillId="2" borderId="2" xfId="0" quotePrefix="1" applyFont="1" applyFill="1" applyBorder="1" applyAlignment="1">
      <alignment horizontal="center" vertical="center" wrapText="1"/>
    </xf>
    <xf numFmtId="0" fontId="2" fillId="2" borderId="4" xfId="0" quotePrefix="1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12" xfId="0" applyFont="1" applyFill="1" applyBorder="1" applyAlignment="1">
      <alignment horizontal="center" vertical="center"/>
    </xf>
    <xf numFmtId="9" fontId="11" fillId="2" borderId="12" xfId="1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left" vertical="center"/>
    </xf>
    <xf numFmtId="0" fontId="3" fillId="5" borderId="1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vertical="center" wrapText="1"/>
    </xf>
    <xf numFmtId="0" fontId="8" fillId="2" borderId="4" xfId="0" quotePrefix="1" applyFont="1" applyFill="1" applyBorder="1" applyAlignment="1">
      <alignment horizontal="left" vertical="top" wrapText="1"/>
    </xf>
    <xf numFmtId="0" fontId="8" fillId="2" borderId="7" xfId="0" quotePrefix="1" applyFont="1" applyFill="1" applyBorder="1" applyAlignment="1">
      <alignment horizontal="left" vertical="top" wrapText="1"/>
    </xf>
    <xf numFmtId="0" fontId="2" fillId="2" borderId="7" xfId="0" quotePrefix="1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4" xfId="0" quotePrefix="1" applyFont="1" applyBorder="1" applyAlignment="1">
      <alignment horizontal="left" vertical="center" wrapText="1"/>
    </xf>
    <xf numFmtId="0" fontId="2" fillId="4" borderId="7" xfId="0" applyFont="1" applyFill="1" applyBorder="1" applyAlignment="1">
      <alignment horizontal="left" vertical="center" wrapText="1"/>
    </xf>
    <xf numFmtId="0" fontId="2" fillId="4" borderId="4" xfId="0" applyFont="1" applyFill="1" applyBorder="1" applyAlignment="1">
      <alignment vertical="center" wrapText="1"/>
    </xf>
    <xf numFmtId="0" fontId="2" fillId="4" borderId="7" xfId="0" applyFont="1" applyFill="1" applyBorder="1" applyAlignment="1">
      <alignment vertical="center" wrapText="1"/>
    </xf>
    <xf numFmtId="0" fontId="3" fillId="3" borderId="18" xfId="0" applyFont="1" applyFill="1" applyBorder="1" applyAlignment="1">
      <alignment horizontal="center" vertical="center" wrapText="1"/>
    </xf>
    <xf numFmtId="0" fontId="3" fillId="3" borderId="19" xfId="0" applyFont="1" applyFill="1" applyBorder="1" applyAlignment="1">
      <alignment horizontal="center" vertical="center" wrapText="1"/>
    </xf>
    <xf numFmtId="0" fontId="3" fillId="3" borderId="20" xfId="0" applyFont="1" applyFill="1" applyBorder="1" applyAlignment="1">
      <alignment horizontal="center" vertical="center" wrapText="1"/>
    </xf>
    <xf numFmtId="0" fontId="7" fillId="0" borderId="10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7" fillId="0" borderId="8" xfId="0" applyFont="1" applyBorder="1" applyAlignment="1">
      <alignment vertical="center"/>
    </xf>
    <xf numFmtId="9" fontId="11" fillId="2" borderId="0" xfId="1" applyFont="1" applyFill="1" applyBorder="1" applyAlignment="1">
      <alignment horizontal="center" vertical="center"/>
    </xf>
    <xf numFmtId="0" fontId="9" fillId="2" borderId="0" xfId="0" applyFont="1" applyFill="1" applyAlignment="1">
      <alignment vertical="center"/>
    </xf>
    <xf numFmtId="0" fontId="2" fillId="2" borderId="4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2" fillId="2" borderId="7" xfId="0" applyFont="1" applyFill="1" applyBorder="1" applyAlignment="1">
      <alignment horizontal="left" vertical="center" wrapText="1"/>
    </xf>
    <xf numFmtId="0" fontId="2" fillId="2" borderId="4" xfId="0" quotePrefix="1" applyFont="1" applyFill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3" fillId="5" borderId="16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</cellXfs>
  <cellStyles count="2">
    <cellStyle name="백분율" xfId="1" builtinId="5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1FA0B-7B9A-4D33-9382-94BD350B5455}">
  <dimension ref="A1:P63"/>
  <sheetViews>
    <sheetView showGridLines="0" tabSelected="1" zoomScale="90" zoomScaleNormal="90" workbookViewId="0">
      <pane ySplit="8" topLeftCell="A16" activePane="bottomLeft" state="frozen"/>
      <selection pane="bottomLeft" activeCell="F14" sqref="F14:F25"/>
    </sheetView>
  </sheetViews>
  <sheetFormatPr defaultRowHeight="16.5" x14ac:dyDescent="0.3"/>
  <cols>
    <col min="1" max="1" width="2" style="1" customWidth="1"/>
    <col min="2" max="2" width="6.375" style="13" customWidth="1"/>
    <col min="3" max="3" width="20.25" style="1" hidden="1" customWidth="1"/>
    <col min="4" max="4" width="31.5" style="1" hidden="1" customWidth="1"/>
    <col min="5" max="5" width="17" style="1" customWidth="1"/>
    <col min="6" max="6" width="22.625" style="1" bestFit="1" customWidth="1"/>
    <col min="7" max="7" width="21.25" style="1" customWidth="1"/>
    <col min="8" max="8" width="19.625" style="1" customWidth="1"/>
    <col min="9" max="9" width="20.125" style="1" customWidth="1"/>
    <col min="10" max="10" width="16" style="13" customWidth="1"/>
    <col min="11" max="11" width="77.875" style="1" bestFit="1" customWidth="1"/>
    <col min="12" max="12" width="12.125" style="1" hidden="1" customWidth="1"/>
    <col min="13" max="13" width="91.875" style="1" hidden="1" customWidth="1"/>
    <col min="14" max="16384" width="9" style="1"/>
  </cols>
  <sheetData>
    <row r="1" spans="1:16" ht="21" customHeight="1" x14ac:dyDescent="0.3">
      <c r="A1" s="16"/>
      <c r="B1" s="48" t="s">
        <v>55</v>
      </c>
      <c r="C1" s="48"/>
      <c r="D1" s="48"/>
      <c r="E1" s="48"/>
      <c r="F1" s="17"/>
      <c r="G1" s="17"/>
      <c r="H1" s="56"/>
      <c r="I1" s="56"/>
      <c r="J1" s="26"/>
      <c r="K1" s="26"/>
      <c r="L1" s="17"/>
      <c r="M1" s="17"/>
      <c r="N1" s="17"/>
      <c r="O1" s="17"/>
      <c r="P1" s="17"/>
    </row>
    <row r="2" spans="1:16" ht="21.75" customHeight="1" x14ac:dyDescent="0.3">
      <c r="A2" s="16"/>
      <c r="B2" s="26" t="s">
        <v>168</v>
      </c>
      <c r="C2" s="26"/>
      <c r="D2" s="25"/>
      <c r="E2" s="17"/>
      <c r="F2" s="17"/>
      <c r="G2" s="21"/>
      <c r="H2" s="26"/>
      <c r="I2" s="57" t="s">
        <v>170</v>
      </c>
      <c r="J2" s="58"/>
      <c r="K2" s="30">
        <f>SUM(K3,K4,K5)</f>
        <v>53</v>
      </c>
      <c r="L2" s="17"/>
      <c r="M2" s="17"/>
      <c r="N2" s="17"/>
      <c r="O2" s="17"/>
      <c r="P2" s="17"/>
    </row>
    <row r="3" spans="1:16" ht="21.75" customHeight="1" x14ac:dyDescent="0.3">
      <c r="A3" s="16"/>
      <c r="B3" s="26"/>
      <c r="C3" s="26"/>
      <c r="D3" s="25"/>
      <c r="E3" s="55"/>
      <c r="F3" s="26"/>
      <c r="G3" s="21"/>
      <c r="H3" s="26"/>
      <c r="I3" s="59" t="s">
        <v>174</v>
      </c>
      <c r="J3" s="29" t="s">
        <v>169</v>
      </c>
      <c r="K3" s="27">
        <f>COUNTIF(J9:J218,"완료")</f>
        <v>51</v>
      </c>
      <c r="L3" s="17"/>
      <c r="M3" s="17"/>
      <c r="N3" s="17"/>
      <c r="O3" s="17"/>
      <c r="P3" s="17"/>
    </row>
    <row r="4" spans="1:16" ht="21.75" customHeight="1" x14ac:dyDescent="0.3">
      <c r="A4" s="16"/>
      <c r="B4" s="25"/>
      <c r="C4" s="25"/>
      <c r="D4" s="25"/>
      <c r="E4" s="55"/>
      <c r="F4" s="26"/>
      <c r="G4" s="21"/>
      <c r="H4" s="26"/>
      <c r="I4" s="60"/>
      <c r="J4" s="29" t="s">
        <v>172</v>
      </c>
      <c r="K4" s="27">
        <f>COUNTIF(J9:J218,"진행중")</f>
        <v>1</v>
      </c>
      <c r="L4" s="17"/>
      <c r="M4" s="17"/>
      <c r="N4" s="17"/>
      <c r="O4" s="17"/>
      <c r="P4" s="17"/>
    </row>
    <row r="5" spans="1:16" ht="21.75" customHeight="1" x14ac:dyDescent="0.3">
      <c r="A5" s="16"/>
      <c r="B5" s="25"/>
      <c r="C5" s="25"/>
      <c r="D5" s="25"/>
      <c r="E5" s="55"/>
      <c r="F5" s="26"/>
      <c r="G5" s="21"/>
      <c r="H5" s="26"/>
      <c r="I5" s="60"/>
      <c r="J5" s="29" t="s">
        <v>171</v>
      </c>
      <c r="K5" s="27">
        <f>COUNTIF(J9:J218,"대기")</f>
        <v>1</v>
      </c>
      <c r="L5" s="17"/>
      <c r="M5" s="17"/>
      <c r="N5" s="17"/>
      <c r="O5" s="17"/>
      <c r="P5" s="17"/>
    </row>
    <row r="6" spans="1:16" ht="21.75" customHeight="1" x14ac:dyDescent="0.3">
      <c r="A6" s="16"/>
      <c r="B6" s="25"/>
      <c r="C6" s="25"/>
      <c r="D6" s="25"/>
      <c r="E6" s="55"/>
      <c r="F6" s="26"/>
      <c r="G6" s="47"/>
      <c r="H6" s="26"/>
      <c r="I6" s="61"/>
      <c r="J6" s="29" t="s">
        <v>173</v>
      </c>
      <c r="K6" s="28">
        <f>K3/K2</f>
        <v>0.96226415094339623</v>
      </c>
      <c r="L6" s="17"/>
      <c r="M6" s="17"/>
      <c r="N6" s="17"/>
      <c r="O6" s="17"/>
      <c r="P6" s="17"/>
    </row>
    <row r="7" spans="1:16" ht="25.5" customHeight="1" thickBot="1" x14ac:dyDescent="0.35">
      <c r="A7" s="16"/>
      <c r="B7" s="25"/>
      <c r="C7" s="25"/>
      <c r="D7" s="25"/>
      <c r="E7" s="25"/>
      <c r="F7" s="26"/>
      <c r="G7" s="26"/>
      <c r="H7" s="17"/>
      <c r="I7" s="17"/>
      <c r="J7" s="21"/>
      <c r="K7" s="17"/>
      <c r="L7" s="17"/>
      <c r="M7" s="17"/>
      <c r="N7" s="17"/>
      <c r="O7" s="17"/>
      <c r="P7" s="17"/>
    </row>
    <row r="8" spans="1:16" s="7" customFormat="1" ht="33" customHeight="1" thickBot="1" x14ac:dyDescent="0.35">
      <c r="A8" s="8"/>
      <c r="B8" s="40" t="s">
        <v>0</v>
      </c>
      <c r="C8" s="41" t="s">
        <v>5</v>
      </c>
      <c r="D8" s="41" t="s">
        <v>11</v>
      </c>
      <c r="E8" s="41" t="s">
        <v>1</v>
      </c>
      <c r="F8" s="41" t="s">
        <v>2</v>
      </c>
      <c r="G8" s="41" t="s">
        <v>3</v>
      </c>
      <c r="H8" s="41" t="s">
        <v>6</v>
      </c>
      <c r="I8" s="42" t="s">
        <v>20</v>
      </c>
      <c r="J8" s="42" t="s">
        <v>259</v>
      </c>
      <c r="K8" s="42" t="s">
        <v>10</v>
      </c>
      <c r="L8" s="42" t="s">
        <v>13</v>
      </c>
      <c r="M8" s="22" t="s">
        <v>15</v>
      </c>
      <c r="N8" s="18" t="s">
        <v>144</v>
      </c>
      <c r="O8" s="8"/>
      <c r="P8" s="8"/>
    </row>
    <row r="9" spans="1:16" s="2" customFormat="1" ht="25.5" customHeight="1" x14ac:dyDescent="0.3">
      <c r="A9" s="9"/>
      <c r="B9" s="15">
        <v>1</v>
      </c>
      <c r="C9" s="10" t="s">
        <v>7</v>
      </c>
      <c r="D9" s="10" t="s">
        <v>12</v>
      </c>
      <c r="E9" s="50" t="s">
        <v>258</v>
      </c>
      <c r="F9" s="50"/>
      <c r="G9" s="50"/>
      <c r="H9" s="50"/>
      <c r="I9" s="12"/>
      <c r="J9" s="23" t="s">
        <v>171</v>
      </c>
      <c r="K9" s="6"/>
      <c r="L9" s="12"/>
      <c r="M9" s="12"/>
      <c r="N9" s="43"/>
      <c r="O9" s="9"/>
      <c r="P9" s="9"/>
    </row>
    <row r="10" spans="1:16" s="2" customFormat="1" ht="60" x14ac:dyDescent="0.3">
      <c r="A10" s="9"/>
      <c r="B10" s="14">
        <v>1</v>
      </c>
      <c r="C10" s="4" t="s">
        <v>7</v>
      </c>
      <c r="D10" s="4" t="s">
        <v>12</v>
      </c>
      <c r="E10" s="49" t="s">
        <v>97</v>
      </c>
      <c r="F10" s="49"/>
      <c r="G10" s="49"/>
      <c r="H10" s="49"/>
      <c r="I10" s="3"/>
      <c r="J10" s="24" t="s">
        <v>172</v>
      </c>
      <c r="K10" s="5" t="s">
        <v>248</v>
      </c>
      <c r="L10" s="3" t="s">
        <v>14</v>
      </c>
      <c r="M10" s="3" t="s">
        <v>16</v>
      </c>
      <c r="N10" s="44"/>
      <c r="O10" s="9"/>
      <c r="P10" s="9"/>
    </row>
    <row r="11" spans="1:16" s="2" customFormat="1" ht="36.75" customHeight="1" x14ac:dyDescent="0.3">
      <c r="A11" s="9"/>
      <c r="B11" s="14">
        <v>2</v>
      </c>
      <c r="C11" s="4" t="s">
        <v>98</v>
      </c>
      <c r="D11" s="4" t="s">
        <v>139</v>
      </c>
      <c r="E11" s="49" t="s">
        <v>167</v>
      </c>
      <c r="F11" s="3" t="s">
        <v>214</v>
      </c>
      <c r="G11" s="3"/>
      <c r="H11" s="3"/>
      <c r="I11" s="3"/>
      <c r="J11" s="24" t="s">
        <v>169</v>
      </c>
      <c r="K11" s="5" t="s">
        <v>142</v>
      </c>
      <c r="L11" s="49" t="s">
        <v>14</v>
      </c>
      <c r="M11" s="49" t="s">
        <v>17</v>
      </c>
      <c r="N11" s="44"/>
      <c r="O11" s="9"/>
      <c r="P11" s="9"/>
    </row>
    <row r="12" spans="1:16" s="2" customFormat="1" ht="33" customHeight="1" x14ac:dyDescent="0.3">
      <c r="A12" s="9"/>
      <c r="B12" s="14">
        <v>3</v>
      </c>
      <c r="C12" s="4" t="s">
        <v>140</v>
      </c>
      <c r="D12" s="4" t="s">
        <v>141</v>
      </c>
      <c r="E12" s="49"/>
      <c r="F12" s="3" t="s">
        <v>215</v>
      </c>
      <c r="G12" s="3"/>
      <c r="H12" s="3"/>
      <c r="I12" s="3"/>
      <c r="J12" s="24" t="s">
        <v>169</v>
      </c>
      <c r="K12" s="5" t="s">
        <v>166</v>
      </c>
      <c r="L12" s="49"/>
      <c r="M12" s="49"/>
      <c r="N12" s="44"/>
      <c r="O12" s="9"/>
      <c r="P12" s="9"/>
    </row>
    <row r="13" spans="1:16" s="2" customFormat="1" ht="36" x14ac:dyDescent="0.3">
      <c r="A13" s="9"/>
      <c r="B13" s="14">
        <v>4</v>
      </c>
      <c r="C13" s="4" t="s">
        <v>8</v>
      </c>
      <c r="D13" s="4" t="s">
        <v>143</v>
      </c>
      <c r="E13" s="49" t="s">
        <v>149</v>
      </c>
      <c r="F13" s="11" t="s">
        <v>150</v>
      </c>
      <c r="G13" s="3"/>
      <c r="H13" s="3"/>
      <c r="I13" s="3"/>
      <c r="J13" s="24" t="s">
        <v>169</v>
      </c>
      <c r="K13" s="5" t="s">
        <v>18</v>
      </c>
      <c r="L13" s="49" t="s">
        <v>14</v>
      </c>
      <c r="M13" s="49" t="s">
        <v>19</v>
      </c>
      <c r="N13" s="44"/>
      <c r="O13" s="9"/>
      <c r="P13" s="9"/>
    </row>
    <row r="14" spans="1:16" s="2" customFormat="1" ht="28.5" customHeight="1" x14ac:dyDescent="0.3">
      <c r="A14" s="9"/>
      <c r="B14" s="14">
        <v>5</v>
      </c>
      <c r="C14" s="4" t="s">
        <v>148</v>
      </c>
      <c r="D14" s="4" t="s">
        <v>156</v>
      </c>
      <c r="E14" s="49"/>
      <c r="F14" s="49" t="s">
        <v>92</v>
      </c>
      <c r="G14" s="3" t="s">
        <v>147</v>
      </c>
      <c r="H14" s="45"/>
      <c r="I14" s="3"/>
      <c r="J14" s="24" t="s">
        <v>169</v>
      </c>
      <c r="K14" s="5" t="s">
        <v>210</v>
      </c>
      <c r="L14" s="49"/>
      <c r="M14" s="49"/>
      <c r="N14" s="44"/>
      <c r="O14" s="9"/>
      <c r="P14" s="9"/>
    </row>
    <row r="15" spans="1:16" s="2" customFormat="1" ht="24.75" customHeight="1" x14ac:dyDescent="0.3">
      <c r="A15" s="9"/>
      <c r="B15" s="14">
        <v>6</v>
      </c>
      <c r="C15" s="4" t="s">
        <v>106</v>
      </c>
      <c r="D15" s="4" t="s">
        <v>151</v>
      </c>
      <c r="E15" s="49"/>
      <c r="F15" s="49"/>
      <c r="G15" s="49" t="s">
        <v>99</v>
      </c>
      <c r="H15" s="3" t="s">
        <v>120</v>
      </c>
      <c r="I15" s="3"/>
      <c r="J15" s="24" t="s">
        <v>169</v>
      </c>
      <c r="K15" s="5" t="s">
        <v>89</v>
      </c>
      <c r="L15" s="49"/>
      <c r="M15" s="49"/>
      <c r="N15" s="44"/>
      <c r="O15" s="9"/>
      <c r="P15" s="9"/>
    </row>
    <row r="16" spans="1:16" s="2" customFormat="1" ht="24.75" customHeight="1" x14ac:dyDescent="0.3">
      <c r="A16" s="9"/>
      <c r="B16" s="14">
        <v>7</v>
      </c>
      <c r="C16" s="4" t="s">
        <v>107</v>
      </c>
      <c r="D16" s="4" t="s">
        <v>176</v>
      </c>
      <c r="E16" s="49"/>
      <c r="F16" s="49"/>
      <c r="G16" s="49"/>
      <c r="H16" s="3" t="s">
        <v>175</v>
      </c>
      <c r="I16" s="3"/>
      <c r="J16" s="24" t="s">
        <v>169</v>
      </c>
      <c r="K16" s="5" t="s">
        <v>135</v>
      </c>
      <c r="L16" s="49"/>
      <c r="M16" s="49"/>
      <c r="N16" s="44"/>
      <c r="O16" s="9"/>
      <c r="P16" s="9"/>
    </row>
    <row r="17" spans="1:16" s="2" customFormat="1" ht="24.75" customHeight="1" x14ac:dyDescent="0.3">
      <c r="A17" s="9"/>
      <c r="B17" s="14">
        <v>8</v>
      </c>
      <c r="C17" s="4" t="s">
        <v>165</v>
      </c>
      <c r="D17" s="4" t="s">
        <v>178</v>
      </c>
      <c r="E17" s="49"/>
      <c r="F17" s="49"/>
      <c r="G17" s="49"/>
      <c r="H17" s="3" t="s">
        <v>177</v>
      </c>
      <c r="I17" s="3"/>
      <c r="J17" s="24" t="s">
        <v>169</v>
      </c>
      <c r="K17" s="5" t="s">
        <v>136</v>
      </c>
      <c r="L17" s="49"/>
      <c r="M17" s="49"/>
      <c r="N17" s="44"/>
      <c r="O17" s="9"/>
      <c r="P17" s="9"/>
    </row>
    <row r="18" spans="1:16" s="2" customFormat="1" ht="24.75" customHeight="1" x14ac:dyDescent="0.3">
      <c r="A18" s="9"/>
      <c r="B18" s="14">
        <v>9</v>
      </c>
      <c r="C18" s="4" t="s">
        <v>157</v>
      </c>
      <c r="D18" s="4" t="s">
        <v>152</v>
      </c>
      <c r="E18" s="49"/>
      <c r="F18" s="49"/>
      <c r="G18" s="49"/>
      <c r="H18" s="3" t="s">
        <v>121</v>
      </c>
      <c r="I18" s="3"/>
      <c r="J18" s="24" t="s">
        <v>169</v>
      </c>
      <c r="K18" s="5" t="s">
        <v>137</v>
      </c>
      <c r="L18" s="49"/>
      <c r="M18" s="49"/>
      <c r="N18" s="44"/>
      <c r="O18" s="9"/>
      <c r="P18" s="9"/>
    </row>
    <row r="19" spans="1:16" s="2" customFormat="1" ht="24.75" customHeight="1" x14ac:dyDescent="0.3">
      <c r="A19" s="9"/>
      <c r="B19" s="14">
        <v>10</v>
      </c>
      <c r="C19" s="4" t="s">
        <v>211</v>
      </c>
      <c r="D19" s="4" t="s">
        <v>153</v>
      </c>
      <c r="E19" s="49"/>
      <c r="F19" s="49"/>
      <c r="G19" s="49"/>
      <c r="H19" s="3" t="s">
        <v>122</v>
      </c>
      <c r="I19" s="3"/>
      <c r="J19" s="24" t="s">
        <v>169</v>
      </c>
      <c r="K19" s="5" t="s">
        <v>138</v>
      </c>
      <c r="L19" s="49"/>
      <c r="M19" s="49"/>
      <c r="N19" s="44"/>
      <c r="O19" s="9"/>
      <c r="P19" s="9"/>
    </row>
    <row r="20" spans="1:16" s="2" customFormat="1" ht="21" customHeight="1" x14ac:dyDescent="0.3">
      <c r="A20" s="9"/>
      <c r="B20" s="14">
        <v>11</v>
      </c>
      <c r="C20" s="4" t="s">
        <v>158</v>
      </c>
      <c r="D20" s="4" t="s">
        <v>154</v>
      </c>
      <c r="E20" s="49"/>
      <c r="F20" s="49"/>
      <c r="G20" s="49" t="s">
        <v>93</v>
      </c>
      <c r="H20" s="3" t="s">
        <v>123</v>
      </c>
      <c r="I20" s="49" t="s">
        <v>105</v>
      </c>
      <c r="J20" s="24" t="s">
        <v>169</v>
      </c>
      <c r="K20" s="53" t="s">
        <v>90</v>
      </c>
      <c r="L20" s="49"/>
      <c r="M20" s="49"/>
      <c r="N20" s="44"/>
      <c r="O20" s="9"/>
      <c r="P20" s="9"/>
    </row>
    <row r="21" spans="1:16" s="2" customFormat="1" ht="21" customHeight="1" x14ac:dyDescent="0.3">
      <c r="A21" s="9"/>
      <c r="B21" s="14">
        <v>12</v>
      </c>
      <c r="C21" s="4" t="s">
        <v>212</v>
      </c>
      <c r="D21" s="4" t="s">
        <v>155</v>
      </c>
      <c r="E21" s="49"/>
      <c r="F21" s="49"/>
      <c r="G21" s="49"/>
      <c r="H21" s="3" t="s">
        <v>124</v>
      </c>
      <c r="I21" s="49"/>
      <c r="J21" s="24" t="s">
        <v>169</v>
      </c>
      <c r="K21" s="53"/>
      <c r="L21" s="49"/>
      <c r="M21" s="49"/>
      <c r="N21" s="44"/>
      <c r="O21" s="9"/>
      <c r="P21" s="9"/>
    </row>
    <row r="22" spans="1:16" ht="24" x14ac:dyDescent="0.3">
      <c r="A22" s="9"/>
      <c r="B22" s="14">
        <v>13</v>
      </c>
      <c r="C22" s="4" t="s">
        <v>159</v>
      </c>
      <c r="D22" s="4" t="s">
        <v>145</v>
      </c>
      <c r="E22" s="49"/>
      <c r="F22" s="49"/>
      <c r="G22" s="3" t="s">
        <v>94</v>
      </c>
      <c r="H22" s="3"/>
      <c r="I22" s="3" t="s">
        <v>21</v>
      </c>
      <c r="J22" s="24" t="s">
        <v>169</v>
      </c>
      <c r="K22" s="5" t="s">
        <v>131</v>
      </c>
      <c r="L22" s="49"/>
      <c r="M22" s="49"/>
      <c r="N22" s="44"/>
      <c r="O22" s="9"/>
      <c r="P22" s="9"/>
    </row>
    <row r="23" spans="1:16" ht="24" x14ac:dyDescent="0.3">
      <c r="A23" s="9"/>
      <c r="B23" s="14">
        <v>14</v>
      </c>
      <c r="C23" s="4" t="s">
        <v>160</v>
      </c>
      <c r="D23" s="4" t="s">
        <v>146</v>
      </c>
      <c r="E23" s="49"/>
      <c r="F23" s="49"/>
      <c r="G23" s="3" t="s">
        <v>95</v>
      </c>
      <c r="H23" s="3"/>
      <c r="I23" s="3" t="s">
        <v>22</v>
      </c>
      <c r="J23" s="24" t="s">
        <v>169</v>
      </c>
      <c r="K23" s="5" t="s">
        <v>132</v>
      </c>
      <c r="L23" s="49"/>
      <c r="M23" s="49"/>
      <c r="N23" s="44"/>
      <c r="O23" s="9"/>
      <c r="P23" s="9"/>
    </row>
    <row r="24" spans="1:16" ht="24" x14ac:dyDescent="0.3">
      <c r="A24" s="9"/>
      <c r="B24" s="14">
        <v>15</v>
      </c>
      <c r="C24" s="4" t="s">
        <v>163</v>
      </c>
      <c r="D24" s="4" t="s">
        <v>161</v>
      </c>
      <c r="E24" s="49"/>
      <c r="F24" s="49"/>
      <c r="G24" s="49" t="s">
        <v>96</v>
      </c>
      <c r="H24" s="3" t="s">
        <v>114</v>
      </c>
      <c r="I24" s="3" t="s">
        <v>25</v>
      </c>
      <c r="J24" s="24" t="s">
        <v>169</v>
      </c>
      <c r="K24" s="5" t="s">
        <v>91</v>
      </c>
      <c r="L24" s="49"/>
      <c r="M24" s="49"/>
      <c r="N24" s="44"/>
      <c r="O24" s="9"/>
      <c r="P24" s="9"/>
    </row>
    <row r="25" spans="1:16" ht="26.25" customHeight="1" x14ac:dyDescent="0.3">
      <c r="A25" s="9"/>
      <c r="B25" s="14">
        <v>16</v>
      </c>
      <c r="C25" s="4" t="s">
        <v>164</v>
      </c>
      <c r="D25" s="4" t="s">
        <v>162</v>
      </c>
      <c r="E25" s="49"/>
      <c r="F25" s="49"/>
      <c r="G25" s="49"/>
      <c r="H25" s="3" t="s">
        <v>190</v>
      </c>
      <c r="I25" s="3"/>
      <c r="J25" s="24" t="s">
        <v>169</v>
      </c>
      <c r="K25" s="5"/>
      <c r="L25" s="3"/>
      <c r="M25" s="3"/>
      <c r="N25" s="44"/>
      <c r="O25" s="9"/>
      <c r="P25" s="9"/>
    </row>
    <row r="26" spans="1:16" ht="24" customHeight="1" x14ac:dyDescent="0.3">
      <c r="A26" s="9"/>
      <c r="B26" s="14">
        <v>17</v>
      </c>
      <c r="C26" s="4" t="s">
        <v>49</v>
      </c>
      <c r="D26" s="4" t="s">
        <v>112</v>
      </c>
      <c r="E26" s="49" t="s">
        <v>189</v>
      </c>
      <c r="F26" s="3" t="s">
        <v>187</v>
      </c>
      <c r="G26" s="3" t="s">
        <v>186</v>
      </c>
      <c r="H26" s="3"/>
      <c r="I26" s="3"/>
      <c r="J26" s="24" t="s">
        <v>169</v>
      </c>
      <c r="K26" s="5" t="s">
        <v>23</v>
      </c>
      <c r="L26" s="49" t="s">
        <v>14</v>
      </c>
      <c r="M26" s="49" t="s">
        <v>133</v>
      </c>
      <c r="N26" s="44"/>
      <c r="O26" s="9"/>
      <c r="P26" s="9"/>
    </row>
    <row r="27" spans="1:16" ht="24" x14ac:dyDescent="0.3">
      <c r="A27" s="9"/>
      <c r="B27" s="14">
        <v>18</v>
      </c>
      <c r="C27" s="4" t="s">
        <v>50</v>
      </c>
      <c r="D27" s="4" t="s">
        <v>109</v>
      </c>
      <c r="E27" s="49"/>
      <c r="F27" s="49" t="s">
        <v>188</v>
      </c>
      <c r="G27" s="3" t="s">
        <v>186</v>
      </c>
      <c r="H27" s="3"/>
      <c r="I27" s="3"/>
      <c r="J27" s="24" t="s">
        <v>169</v>
      </c>
      <c r="K27" s="5" t="s">
        <v>24</v>
      </c>
      <c r="L27" s="49"/>
      <c r="M27" s="49"/>
      <c r="N27" s="44"/>
      <c r="O27" s="9"/>
      <c r="P27" s="9"/>
    </row>
    <row r="28" spans="1:16" x14ac:dyDescent="0.3">
      <c r="A28" s="9"/>
      <c r="B28" s="14">
        <v>19</v>
      </c>
      <c r="C28" s="4" t="s">
        <v>111</v>
      </c>
      <c r="D28" s="4" t="s">
        <v>108</v>
      </c>
      <c r="E28" s="49"/>
      <c r="F28" s="49"/>
      <c r="G28" s="3" t="s">
        <v>185</v>
      </c>
      <c r="H28" s="3"/>
      <c r="I28" s="3"/>
      <c r="J28" s="24" t="s">
        <v>169</v>
      </c>
      <c r="K28" s="5" t="s">
        <v>180</v>
      </c>
      <c r="L28" s="49"/>
      <c r="M28" s="49"/>
      <c r="N28" s="44"/>
      <c r="O28" s="9"/>
      <c r="P28" s="9"/>
    </row>
    <row r="29" spans="1:16" x14ac:dyDescent="0.3">
      <c r="A29" s="9"/>
      <c r="B29" s="14">
        <v>20</v>
      </c>
      <c r="C29" s="4" t="s">
        <v>182</v>
      </c>
      <c r="D29" s="4" t="s">
        <v>179</v>
      </c>
      <c r="E29" s="49"/>
      <c r="F29" s="49"/>
      <c r="G29" s="3" t="s">
        <v>184</v>
      </c>
      <c r="H29" s="3"/>
      <c r="I29" s="3"/>
      <c r="J29" s="24" t="s">
        <v>169</v>
      </c>
      <c r="K29" s="5" t="s">
        <v>181</v>
      </c>
      <c r="L29" s="49"/>
      <c r="M29" s="49"/>
      <c r="N29" s="44"/>
      <c r="O29" s="9"/>
      <c r="P29" s="9"/>
    </row>
    <row r="30" spans="1:16" x14ac:dyDescent="0.3">
      <c r="A30" s="9"/>
      <c r="B30" s="14">
        <v>21</v>
      </c>
      <c r="C30" s="4" t="s">
        <v>183</v>
      </c>
      <c r="D30" s="4" t="s">
        <v>110</v>
      </c>
      <c r="E30" s="49"/>
      <c r="F30" s="49"/>
      <c r="G30" s="3" t="s">
        <v>113</v>
      </c>
      <c r="H30" s="3"/>
      <c r="I30" s="3"/>
      <c r="J30" s="24" t="s">
        <v>169</v>
      </c>
      <c r="K30" s="5" t="s">
        <v>134</v>
      </c>
      <c r="L30" s="49"/>
      <c r="M30" s="49"/>
      <c r="N30" s="44"/>
      <c r="O30" s="9"/>
      <c r="P30" s="9"/>
    </row>
    <row r="31" spans="1:16" ht="24" x14ac:dyDescent="0.3">
      <c r="A31" s="9"/>
      <c r="B31" s="14">
        <v>22</v>
      </c>
      <c r="C31" s="4" t="s">
        <v>191</v>
      </c>
      <c r="D31" s="4" t="s">
        <v>54</v>
      </c>
      <c r="E31" s="49" t="s">
        <v>253</v>
      </c>
      <c r="F31" s="3" t="s">
        <v>115</v>
      </c>
      <c r="G31" s="3"/>
      <c r="H31" s="3"/>
      <c r="I31" s="3"/>
      <c r="J31" s="24" t="s">
        <v>169</v>
      </c>
      <c r="K31" s="5" t="s">
        <v>26</v>
      </c>
      <c r="L31" s="3" t="s">
        <v>14</v>
      </c>
      <c r="M31" s="53"/>
      <c r="N31" s="44"/>
      <c r="O31" s="9"/>
      <c r="P31" s="9"/>
    </row>
    <row r="32" spans="1:16" ht="24" x14ac:dyDescent="0.3">
      <c r="A32" s="9"/>
      <c r="B32" s="14">
        <v>23</v>
      </c>
      <c r="C32" s="4" t="s">
        <v>51</v>
      </c>
      <c r="D32" s="4" t="s">
        <v>116</v>
      </c>
      <c r="E32" s="49"/>
      <c r="F32" s="3" t="s">
        <v>118</v>
      </c>
      <c r="G32" s="3"/>
      <c r="H32" s="3"/>
      <c r="I32" s="3"/>
      <c r="J32" s="24" t="s">
        <v>169</v>
      </c>
      <c r="K32" s="5" t="s">
        <v>27</v>
      </c>
      <c r="L32" s="3" t="s">
        <v>14</v>
      </c>
      <c r="M32" s="53"/>
      <c r="N32" s="44"/>
      <c r="O32" s="9"/>
      <c r="P32" s="9"/>
    </row>
    <row r="33" spans="1:16" ht="24" x14ac:dyDescent="0.3">
      <c r="A33" s="9"/>
      <c r="B33" s="14">
        <v>24</v>
      </c>
      <c r="C33" s="4" t="s">
        <v>100</v>
      </c>
      <c r="D33" s="4" t="s">
        <v>242</v>
      </c>
      <c r="E33" s="49"/>
      <c r="F33" s="3" t="s">
        <v>241</v>
      </c>
      <c r="G33" s="3"/>
      <c r="H33" s="3"/>
      <c r="I33" s="3"/>
      <c r="J33" s="24" t="s">
        <v>169</v>
      </c>
      <c r="K33" s="5" t="s">
        <v>243</v>
      </c>
      <c r="L33" s="3" t="s">
        <v>14</v>
      </c>
      <c r="M33" s="5" t="s">
        <v>28</v>
      </c>
      <c r="N33" s="44"/>
      <c r="O33" s="9"/>
      <c r="P33" s="9"/>
    </row>
    <row r="34" spans="1:16" ht="36" x14ac:dyDescent="0.3">
      <c r="A34" s="9"/>
      <c r="B34" s="14">
        <v>25</v>
      </c>
      <c r="C34" s="4" t="s">
        <v>101</v>
      </c>
      <c r="D34" s="4" t="s">
        <v>117</v>
      </c>
      <c r="E34" s="49"/>
      <c r="F34" s="3" t="s">
        <v>119</v>
      </c>
      <c r="G34" s="3"/>
      <c r="H34" s="3"/>
      <c r="I34" s="3"/>
      <c r="J34" s="24" t="s">
        <v>169</v>
      </c>
      <c r="K34" s="5" t="s">
        <v>30</v>
      </c>
      <c r="L34" s="3" t="s">
        <v>14</v>
      </c>
      <c r="M34" s="5" t="s">
        <v>29</v>
      </c>
      <c r="N34" s="44"/>
      <c r="O34" s="9"/>
      <c r="P34" s="9"/>
    </row>
    <row r="35" spans="1:16" ht="24" x14ac:dyDescent="0.3">
      <c r="A35" s="9"/>
      <c r="B35" s="14">
        <v>26</v>
      </c>
      <c r="C35" s="4" t="s">
        <v>52</v>
      </c>
      <c r="D35" s="4" t="s">
        <v>56</v>
      </c>
      <c r="E35" s="49" t="s">
        <v>252</v>
      </c>
      <c r="F35" s="3" t="s">
        <v>125</v>
      </c>
      <c r="G35" s="3"/>
      <c r="H35" s="3"/>
      <c r="I35" s="3"/>
      <c r="J35" s="24" t="s">
        <v>169</v>
      </c>
      <c r="K35" s="5" t="s">
        <v>40</v>
      </c>
      <c r="L35" s="3" t="s">
        <v>14</v>
      </c>
      <c r="M35" s="49" t="s">
        <v>31</v>
      </c>
      <c r="N35" s="44"/>
      <c r="O35" s="9"/>
      <c r="P35" s="9"/>
    </row>
    <row r="36" spans="1:16" x14ac:dyDescent="0.3">
      <c r="A36" s="9"/>
      <c r="B36" s="14">
        <v>27</v>
      </c>
      <c r="C36" s="4" t="s">
        <v>53</v>
      </c>
      <c r="D36" s="4" t="s">
        <v>57</v>
      </c>
      <c r="E36" s="49"/>
      <c r="F36" s="3" t="s">
        <v>126</v>
      </c>
      <c r="G36" s="3"/>
      <c r="H36" s="3"/>
      <c r="I36" s="3"/>
      <c r="J36" s="24" t="s">
        <v>169</v>
      </c>
      <c r="K36" s="5" t="s">
        <v>37</v>
      </c>
      <c r="L36" s="3" t="s">
        <v>14</v>
      </c>
      <c r="M36" s="49"/>
      <c r="N36" s="44"/>
      <c r="O36" s="9"/>
      <c r="P36" s="9"/>
    </row>
    <row r="37" spans="1:16" x14ac:dyDescent="0.3">
      <c r="A37" s="9"/>
      <c r="B37" s="14">
        <v>28</v>
      </c>
      <c r="C37" s="4" t="s">
        <v>208</v>
      </c>
      <c r="D37" s="4" t="s">
        <v>206</v>
      </c>
      <c r="E37" s="49" t="s">
        <v>203</v>
      </c>
      <c r="F37" s="3" t="s">
        <v>204</v>
      </c>
      <c r="G37" s="3"/>
      <c r="H37" s="3"/>
      <c r="I37" s="3"/>
      <c r="J37" s="24" t="s">
        <v>169</v>
      </c>
      <c r="K37" s="5"/>
      <c r="L37" s="3"/>
      <c r="M37" s="3"/>
      <c r="N37" s="44"/>
      <c r="O37" s="9"/>
      <c r="P37" s="9"/>
    </row>
    <row r="38" spans="1:16" x14ac:dyDescent="0.3">
      <c r="A38" s="9"/>
      <c r="B38" s="14">
        <v>29</v>
      </c>
      <c r="C38" s="4" t="s">
        <v>209</v>
      </c>
      <c r="D38" s="4" t="s">
        <v>207</v>
      </c>
      <c r="E38" s="49"/>
      <c r="F38" s="3" t="s">
        <v>205</v>
      </c>
      <c r="G38" s="3"/>
      <c r="H38" s="3"/>
      <c r="I38" s="3"/>
      <c r="J38" s="24" t="s">
        <v>169</v>
      </c>
      <c r="K38" s="5"/>
      <c r="L38" s="3"/>
      <c r="M38" s="3"/>
      <c r="N38" s="44"/>
      <c r="O38" s="9"/>
      <c r="P38" s="9"/>
    </row>
    <row r="39" spans="1:16" ht="24" x14ac:dyDescent="0.3">
      <c r="A39" s="9"/>
      <c r="B39" s="14">
        <v>30</v>
      </c>
      <c r="C39" s="4" t="s">
        <v>9</v>
      </c>
      <c r="D39" s="4" t="s">
        <v>58</v>
      </c>
      <c r="E39" s="49" t="s">
        <v>251</v>
      </c>
      <c r="F39" s="3" t="s">
        <v>127</v>
      </c>
      <c r="G39" s="3"/>
      <c r="H39" s="3"/>
      <c r="I39" s="3"/>
      <c r="J39" s="24" t="s">
        <v>169</v>
      </c>
      <c r="K39" s="5" t="s">
        <v>201</v>
      </c>
      <c r="L39" s="3" t="s">
        <v>14</v>
      </c>
      <c r="M39" s="49" t="s">
        <v>39</v>
      </c>
      <c r="N39" s="44"/>
      <c r="O39" s="9"/>
      <c r="P39" s="9"/>
    </row>
    <row r="40" spans="1:16" x14ac:dyDescent="0.3">
      <c r="A40" s="9"/>
      <c r="B40" s="14">
        <v>31</v>
      </c>
      <c r="C40" s="4" t="s">
        <v>102</v>
      </c>
      <c r="D40" s="4" t="s">
        <v>59</v>
      </c>
      <c r="E40" s="49"/>
      <c r="F40" s="49" t="s">
        <v>128</v>
      </c>
      <c r="G40" s="3" t="s">
        <v>129</v>
      </c>
      <c r="H40" s="3"/>
      <c r="I40" s="3"/>
      <c r="J40" s="24" t="s">
        <v>169</v>
      </c>
      <c r="K40" s="53" t="s">
        <v>200</v>
      </c>
      <c r="L40" s="3"/>
      <c r="M40" s="49"/>
      <c r="N40" s="44"/>
      <c r="O40" s="9"/>
      <c r="P40" s="9"/>
    </row>
    <row r="41" spans="1:16" x14ac:dyDescent="0.3">
      <c r="A41" s="9"/>
      <c r="B41" s="14">
        <v>32</v>
      </c>
      <c r="C41" s="4" t="s">
        <v>103</v>
      </c>
      <c r="D41" s="4" t="s">
        <v>104</v>
      </c>
      <c r="E41" s="49"/>
      <c r="F41" s="49"/>
      <c r="G41" s="3" t="s">
        <v>130</v>
      </c>
      <c r="H41" s="3"/>
      <c r="I41" s="3"/>
      <c r="J41" s="24" t="s">
        <v>169</v>
      </c>
      <c r="K41" s="53"/>
      <c r="L41" s="3"/>
      <c r="M41" s="49"/>
      <c r="N41" s="44"/>
      <c r="O41" s="9"/>
      <c r="P41" s="9"/>
    </row>
    <row r="42" spans="1:16" x14ac:dyDescent="0.3">
      <c r="A42" s="9"/>
      <c r="B42" s="14">
        <v>33</v>
      </c>
      <c r="C42" s="4" t="s">
        <v>213</v>
      </c>
      <c r="D42" s="4" t="s">
        <v>196</v>
      </c>
      <c r="E42" s="49"/>
      <c r="F42" s="49"/>
      <c r="G42" s="3" t="s">
        <v>197</v>
      </c>
      <c r="H42" s="3"/>
      <c r="I42" s="3"/>
      <c r="J42" s="24" t="s">
        <v>169</v>
      </c>
      <c r="K42" s="53"/>
      <c r="L42" s="3"/>
      <c r="M42" s="49"/>
      <c r="N42" s="44"/>
      <c r="O42" s="9"/>
      <c r="P42" s="9"/>
    </row>
    <row r="43" spans="1:16" x14ac:dyDescent="0.3">
      <c r="A43" s="9"/>
      <c r="B43" s="14">
        <v>34</v>
      </c>
      <c r="C43" s="4" t="s">
        <v>194</v>
      </c>
      <c r="D43" s="4" t="s">
        <v>198</v>
      </c>
      <c r="E43" s="49"/>
      <c r="F43" s="49" t="s">
        <v>193</v>
      </c>
      <c r="G43" s="3" t="s">
        <v>192</v>
      </c>
      <c r="H43" s="3"/>
      <c r="I43" s="3"/>
      <c r="J43" s="24" t="s">
        <v>169</v>
      </c>
      <c r="K43" s="53" t="s">
        <v>202</v>
      </c>
      <c r="L43" s="3" t="s">
        <v>14</v>
      </c>
      <c r="M43" s="49"/>
      <c r="N43" s="44"/>
      <c r="O43" s="9"/>
      <c r="P43" s="9"/>
    </row>
    <row r="44" spans="1:16" x14ac:dyDescent="0.3">
      <c r="A44" s="9"/>
      <c r="B44" s="14">
        <v>35</v>
      </c>
      <c r="C44" s="4" t="s">
        <v>195</v>
      </c>
      <c r="D44" s="4" t="s">
        <v>199</v>
      </c>
      <c r="E44" s="49"/>
      <c r="F44" s="49"/>
      <c r="G44" s="3" t="s">
        <v>228</v>
      </c>
      <c r="H44" s="3"/>
      <c r="I44" s="3"/>
      <c r="J44" s="24" t="s">
        <v>169</v>
      </c>
      <c r="K44" s="53"/>
      <c r="L44" s="3" t="s">
        <v>14</v>
      </c>
      <c r="M44" s="49"/>
      <c r="N44" s="44"/>
      <c r="O44" s="9"/>
      <c r="P44" s="9"/>
    </row>
    <row r="45" spans="1:16" x14ac:dyDescent="0.3">
      <c r="A45" s="9"/>
      <c r="B45" s="14">
        <v>36</v>
      </c>
      <c r="C45" s="4" t="s">
        <v>230</v>
      </c>
      <c r="D45" s="4" t="s">
        <v>231</v>
      </c>
      <c r="E45" s="54" t="s">
        <v>250</v>
      </c>
      <c r="F45" s="54" t="s">
        <v>235</v>
      </c>
      <c r="G45" s="35" t="s">
        <v>4</v>
      </c>
      <c r="H45" s="35"/>
      <c r="I45" s="35"/>
      <c r="J45" s="24" t="s">
        <v>169</v>
      </c>
      <c r="K45" s="36" t="s">
        <v>41</v>
      </c>
      <c r="L45" s="54" t="s">
        <v>38</v>
      </c>
      <c r="M45" s="35"/>
      <c r="N45" s="44"/>
      <c r="O45" s="9"/>
      <c r="P45" s="9"/>
    </row>
    <row r="46" spans="1:16" ht="24" x14ac:dyDescent="0.3">
      <c r="A46" s="9"/>
      <c r="B46" s="14">
        <v>37</v>
      </c>
      <c r="C46" s="4" t="s">
        <v>47</v>
      </c>
      <c r="D46" s="4" t="s">
        <v>237</v>
      </c>
      <c r="E46" s="54"/>
      <c r="F46" s="54"/>
      <c r="G46" s="35" t="s">
        <v>245</v>
      </c>
      <c r="H46" s="35"/>
      <c r="I46" s="54" t="s">
        <v>46</v>
      </c>
      <c r="J46" s="24" t="s">
        <v>169</v>
      </c>
      <c r="K46" s="36" t="s">
        <v>42</v>
      </c>
      <c r="L46" s="54"/>
      <c r="M46" s="35"/>
      <c r="N46" s="44"/>
      <c r="O46" s="9"/>
      <c r="P46" s="9"/>
    </row>
    <row r="47" spans="1:16" ht="24.75" customHeight="1" x14ac:dyDescent="0.3">
      <c r="A47" s="9"/>
      <c r="B47" s="14">
        <v>38</v>
      </c>
      <c r="C47" s="4" t="s">
        <v>238</v>
      </c>
      <c r="D47" s="4" t="s">
        <v>233</v>
      </c>
      <c r="E47" s="54"/>
      <c r="F47" s="54"/>
      <c r="G47" s="35" t="s">
        <v>246</v>
      </c>
      <c r="H47" s="35"/>
      <c r="I47" s="54"/>
      <c r="J47" s="24" t="s">
        <v>169</v>
      </c>
      <c r="K47" s="36" t="s">
        <v>232</v>
      </c>
      <c r="L47" s="54"/>
      <c r="M47" s="35"/>
      <c r="N47" s="44"/>
      <c r="O47" s="9"/>
      <c r="P47" s="9"/>
    </row>
    <row r="48" spans="1:16" x14ac:dyDescent="0.3">
      <c r="A48" s="9"/>
      <c r="B48" s="14">
        <v>39</v>
      </c>
      <c r="C48" s="4" t="s">
        <v>239</v>
      </c>
      <c r="D48" s="4" t="s">
        <v>234</v>
      </c>
      <c r="E48" s="54"/>
      <c r="F48" s="54"/>
      <c r="G48" s="35" t="s">
        <v>247</v>
      </c>
      <c r="H48" s="35"/>
      <c r="I48" s="54"/>
      <c r="J48" s="24" t="s">
        <v>169</v>
      </c>
      <c r="K48" s="36" t="s">
        <v>43</v>
      </c>
      <c r="L48" s="54"/>
      <c r="M48" s="35"/>
      <c r="N48" s="44"/>
      <c r="O48" s="9"/>
      <c r="P48" s="9"/>
    </row>
    <row r="49" spans="1:16" x14ac:dyDescent="0.3">
      <c r="A49" s="9"/>
      <c r="B49" s="14">
        <v>40</v>
      </c>
      <c r="C49" s="4" t="s">
        <v>48</v>
      </c>
      <c r="D49" s="4" t="s">
        <v>236</v>
      </c>
      <c r="E49" s="54"/>
      <c r="F49" s="35" t="s">
        <v>240</v>
      </c>
      <c r="G49" s="35"/>
      <c r="H49" s="35"/>
      <c r="I49" s="35"/>
      <c r="J49" s="24" t="s">
        <v>169</v>
      </c>
      <c r="K49" s="36" t="s">
        <v>44</v>
      </c>
      <c r="L49" s="54"/>
      <c r="M49" s="36"/>
      <c r="N49" s="44"/>
      <c r="O49" s="9"/>
      <c r="P49" s="9"/>
    </row>
    <row r="50" spans="1:16" ht="24" x14ac:dyDescent="0.3">
      <c r="A50" s="9"/>
      <c r="B50" s="14">
        <v>41</v>
      </c>
      <c r="C50" s="4" t="s">
        <v>79</v>
      </c>
      <c r="D50" s="4" t="s">
        <v>217</v>
      </c>
      <c r="E50" s="49" t="s">
        <v>249</v>
      </c>
      <c r="F50" s="3" t="s">
        <v>229</v>
      </c>
      <c r="G50" s="3"/>
      <c r="H50" s="3"/>
      <c r="I50" s="3"/>
      <c r="J50" s="24" t="s">
        <v>169</v>
      </c>
      <c r="K50" s="5" t="s">
        <v>88</v>
      </c>
      <c r="L50" s="3" t="s">
        <v>36</v>
      </c>
      <c r="M50" s="3" t="s">
        <v>32</v>
      </c>
      <c r="N50" s="44"/>
      <c r="O50" s="9"/>
      <c r="P50" s="9"/>
    </row>
    <row r="51" spans="1:16" x14ac:dyDescent="0.3">
      <c r="A51" s="9"/>
      <c r="B51" s="14">
        <v>42</v>
      </c>
      <c r="C51" s="4" t="s">
        <v>255</v>
      </c>
      <c r="D51" s="4" t="s">
        <v>244</v>
      </c>
      <c r="E51" s="49"/>
      <c r="F51" s="35" t="s">
        <v>254</v>
      </c>
      <c r="G51" s="35"/>
      <c r="H51" s="35"/>
      <c r="I51" s="35"/>
      <c r="J51" s="24" t="s">
        <v>169</v>
      </c>
      <c r="K51" s="36" t="s">
        <v>45</v>
      </c>
      <c r="L51" s="3"/>
      <c r="M51" s="35"/>
      <c r="N51" s="44"/>
      <c r="O51" s="9"/>
      <c r="P51" s="9"/>
    </row>
    <row r="52" spans="1:16" ht="36" x14ac:dyDescent="0.3">
      <c r="A52" s="9"/>
      <c r="B52" s="14">
        <v>43</v>
      </c>
      <c r="C52" s="4" t="s">
        <v>80</v>
      </c>
      <c r="D52" s="38" t="s">
        <v>218</v>
      </c>
      <c r="E52" s="49"/>
      <c r="F52" s="3" t="s">
        <v>60</v>
      </c>
      <c r="G52" s="3"/>
      <c r="H52" s="3"/>
      <c r="I52" s="3"/>
      <c r="J52" s="24" t="s">
        <v>169</v>
      </c>
      <c r="K52" s="32" t="s">
        <v>69</v>
      </c>
      <c r="L52" s="3" t="s">
        <v>36</v>
      </c>
      <c r="M52" s="49" t="s">
        <v>34</v>
      </c>
      <c r="N52" s="44"/>
      <c r="O52" s="9"/>
      <c r="P52" s="9"/>
    </row>
    <row r="53" spans="1:16" ht="48" x14ac:dyDescent="0.3">
      <c r="A53" s="9"/>
      <c r="B53" s="14">
        <v>44</v>
      </c>
      <c r="C53" s="4" t="s">
        <v>81</v>
      </c>
      <c r="D53" s="38" t="s">
        <v>219</v>
      </c>
      <c r="E53" s="49"/>
      <c r="F53" s="3" t="s">
        <v>61</v>
      </c>
      <c r="G53" s="3"/>
      <c r="H53" s="3"/>
      <c r="I53" s="3"/>
      <c r="J53" s="24" t="s">
        <v>169</v>
      </c>
      <c r="K53" s="32" t="s">
        <v>70</v>
      </c>
      <c r="L53" s="3" t="s">
        <v>36</v>
      </c>
      <c r="M53" s="49"/>
      <c r="N53" s="44"/>
      <c r="O53" s="9"/>
      <c r="P53" s="9"/>
    </row>
    <row r="54" spans="1:16" ht="36" x14ac:dyDescent="0.3">
      <c r="A54" s="9"/>
      <c r="B54" s="14">
        <v>45</v>
      </c>
      <c r="C54" s="4" t="s">
        <v>82</v>
      </c>
      <c r="D54" s="38" t="s">
        <v>220</v>
      </c>
      <c r="E54" s="49"/>
      <c r="F54" s="3" t="s">
        <v>62</v>
      </c>
      <c r="G54" s="3"/>
      <c r="H54" s="3"/>
      <c r="I54" s="3"/>
      <c r="J54" s="24" t="s">
        <v>169</v>
      </c>
      <c r="K54" s="32" t="s">
        <v>71</v>
      </c>
      <c r="L54" s="3" t="s">
        <v>36</v>
      </c>
      <c r="M54" s="31" t="s">
        <v>35</v>
      </c>
      <c r="N54" s="44"/>
      <c r="O54" s="9"/>
      <c r="P54" s="9"/>
    </row>
    <row r="55" spans="1:16" ht="24" x14ac:dyDescent="0.3">
      <c r="A55" s="9"/>
      <c r="B55" s="14">
        <v>46</v>
      </c>
      <c r="C55" s="4" t="s">
        <v>83</v>
      </c>
      <c r="D55" s="38" t="s">
        <v>221</v>
      </c>
      <c r="E55" s="49"/>
      <c r="F55" s="3" t="s">
        <v>63</v>
      </c>
      <c r="G55" s="3"/>
      <c r="H55" s="3"/>
      <c r="I55" s="3"/>
      <c r="J55" s="24" t="s">
        <v>169</v>
      </c>
      <c r="K55" s="32" t="s">
        <v>72</v>
      </c>
      <c r="L55" s="3"/>
      <c r="M55" s="31"/>
      <c r="N55" s="44"/>
      <c r="O55" s="9"/>
      <c r="P55" s="9"/>
    </row>
    <row r="56" spans="1:16" ht="24" x14ac:dyDescent="0.3">
      <c r="A56" s="9"/>
      <c r="B56" s="14">
        <v>47</v>
      </c>
      <c r="C56" s="4" t="s">
        <v>84</v>
      </c>
      <c r="D56" s="38" t="s">
        <v>216</v>
      </c>
      <c r="E56" s="49"/>
      <c r="F56" s="3" t="s">
        <v>64</v>
      </c>
      <c r="G56" s="3"/>
      <c r="H56" s="3"/>
      <c r="I56" s="3"/>
      <c r="J56" s="24" t="s">
        <v>169</v>
      </c>
      <c r="K56" s="32" t="s">
        <v>73</v>
      </c>
      <c r="L56" s="3"/>
      <c r="M56" s="3"/>
      <c r="N56" s="44"/>
      <c r="O56" s="9"/>
      <c r="P56" s="9"/>
    </row>
    <row r="57" spans="1:16" x14ac:dyDescent="0.3">
      <c r="A57" s="9"/>
      <c r="B57" s="14">
        <v>48</v>
      </c>
      <c r="C57" s="4" t="s">
        <v>85</v>
      </c>
      <c r="D57" s="38" t="s">
        <v>222</v>
      </c>
      <c r="E57" s="49"/>
      <c r="F57" s="3" t="s">
        <v>65</v>
      </c>
      <c r="G57" s="3"/>
      <c r="H57" s="3"/>
      <c r="I57" s="3"/>
      <c r="J57" s="24" t="s">
        <v>169</v>
      </c>
      <c r="K57" s="32" t="s">
        <v>74</v>
      </c>
      <c r="L57" s="3"/>
      <c r="M57" s="49"/>
      <c r="N57" s="44"/>
      <c r="O57" s="9"/>
      <c r="P57" s="9"/>
    </row>
    <row r="58" spans="1:16" x14ac:dyDescent="0.3">
      <c r="A58" s="9"/>
      <c r="B58" s="14">
        <v>49</v>
      </c>
      <c r="C58" s="4" t="s">
        <v>86</v>
      </c>
      <c r="D58" s="38" t="s">
        <v>223</v>
      </c>
      <c r="E58" s="49"/>
      <c r="F58" s="3" t="s">
        <v>66</v>
      </c>
      <c r="G58" s="3"/>
      <c r="H58" s="3"/>
      <c r="I58" s="3"/>
      <c r="J58" s="24" t="s">
        <v>169</v>
      </c>
      <c r="K58" s="32" t="s">
        <v>75</v>
      </c>
      <c r="L58" s="3"/>
      <c r="M58" s="49"/>
      <c r="N58" s="44"/>
      <c r="O58" s="9"/>
      <c r="P58" s="9"/>
    </row>
    <row r="59" spans="1:16" ht="36" x14ac:dyDescent="0.3">
      <c r="A59" s="9"/>
      <c r="B59" s="14">
        <v>50</v>
      </c>
      <c r="C59" s="4" t="s">
        <v>87</v>
      </c>
      <c r="D59" s="38" t="s">
        <v>225</v>
      </c>
      <c r="E59" s="49"/>
      <c r="F59" s="3" t="s">
        <v>224</v>
      </c>
      <c r="G59" s="3"/>
      <c r="H59" s="3"/>
      <c r="I59" s="3"/>
      <c r="J59" s="24" t="s">
        <v>169</v>
      </c>
      <c r="K59" s="32" t="s">
        <v>76</v>
      </c>
      <c r="L59" s="3" t="s">
        <v>36</v>
      </c>
      <c r="M59" s="31" t="s">
        <v>33</v>
      </c>
      <c r="N59" s="44"/>
      <c r="O59" s="9"/>
      <c r="P59" s="9"/>
    </row>
    <row r="60" spans="1:16" ht="24" x14ac:dyDescent="0.3">
      <c r="A60" s="9"/>
      <c r="B60" s="14">
        <v>51</v>
      </c>
      <c r="C60" s="4" t="s">
        <v>256</v>
      </c>
      <c r="D60" s="38" t="s">
        <v>226</v>
      </c>
      <c r="E60" s="49"/>
      <c r="F60" s="3" t="s">
        <v>67</v>
      </c>
      <c r="G60" s="3"/>
      <c r="H60" s="3"/>
      <c r="I60" s="3"/>
      <c r="J60" s="24" t="s">
        <v>169</v>
      </c>
      <c r="K60" s="32" t="s">
        <v>77</v>
      </c>
      <c r="L60" s="3"/>
      <c r="M60" s="31"/>
      <c r="N60" s="44"/>
      <c r="O60" s="9"/>
      <c r="P60" s="9"/>
    </row>
    <row r="61" spans="1:16" ht="24.75" thickBot="1" x14ac:dyDescent="0.35">
      <c r="A61" s="9"/>
      <c r="B61" s="20">
        <v>52</v>
      </c>
      <c r="C61" s="37" t="s">
        <v>257</v>
      </c>
      <c r="D61" s="39" t="s">
        <v>227</v>
      </c>
      <c r="E61" s="52"/>
      <c r="F61" s="19" t="s">
        <v>68</v>
      </c>
      <c r="G61" s="19"/>
      <c r="H61" s="19"/>
      <c r="I61" s="19"/>
      <c r="J61" s="34" t="s">
        <v>169</v>
      </c>
      <c r="K61" s="33" t="s">
        <v>78</v>
      </c>
      <c r="L61" s="19"/>
      <c r="M61" s="19"/>
      <c r="N61" s="46"/>
      <c r="O61" s="9"/>
      <c r="P61" s="9"/>
    </row>
    <row r="63" spans="1:16" x14ac:dyDescent="0.3">
      <c r="E63" s="51"/>
      <c r="F63" s="51"/>
      <c r="G63" s="51"/>
      <c r="H63" s="51"/>
      <c r="I63" s="51"/>
      <c r="J63" s="51"/>
      <c r="K63" s="51"/>
      <c r="L63" s="51"/>
      <c r="M63" s="51"/>
    </row>
  </sheetData>
  <mergeCells count="41">
    <mergeCell ref="E3:E6"/>
    <mergeCell ref="H1:I1"/>
    <mergeCell ref="I2:J2"/>
    <mergeCell ref="I3:I6"/>
    <mergeCell ref="F40:F42"/>
    <mergeCell ref="K40:K42"/>
    <mergeCell ref="E37:E38"/>
    <mergeCell ref="E10:H10"/>
    <mergeCell ref="M13:M24"/>
    <mergeCell ref="M26:M30"/>
    <mergeCell ref="I20:I21"/>
    <mergeCell ref="K20:K21"/>
    <mergeCell ref="E11:E12"/>
    <mergeCell ref="M11:M12"/>
    <mergeCell ref="L11:L12"/>
    <mergeCell ref="F27:F30"/>
    <mergeCell ref="E26:E30"/>
    <mergeCell ref="L13:L24"/>
    <mergeCell ref="L26:L30"/>
    <mergeCell ref="G20:G21"/>
    <mergeCell ref="E63:M63"/>
    <mergeCell ref="E31:E34"/>
    <mergeCell ref="E35:E36"/>
    <mergeCell ref="E50:E61"/>
    <mergeCell ref="M31:M32"/>
    <mergeCell ref="M35:M36"/>
    <mergeCell ref="M57:M58"/>
    <mergeCell ref="M52:M53"/>
    <mergeCell ref="L45:L49"/>
    <mergeCell ref="F45:F48"/>
    <mergeCell ref="I46:I48"/>
    <mergeCell ref="E45:E49"/>
    <mergeCell ref="F43:F44"/>
    <mergeCell ref="K43:K44"/>
    <mergeCell ref="M39:M44"/>
    <mergeCell ref="E39:E44"/>
    <mergeCell ref="G15:G19"/>
    <mergeCell ref="E13:E25"/>
    <mergeCell ref="F14:F25"/>
    <mergeCell ref="G24:G25"/>
    <mergeCell ref="E9:H9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메뉴(IA)별 기능명세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10249 10249</cp:lastModifiedBy>
  <dcterms:created xsi:type="dcterms:W3CDTF">2026-05-30T22:46:25Z</dcterms:created>
  <dcterms:modified xsi:type="dcterms:W3CDTF">2026-09-19T01:12:23Z</dcterms:modified>
</cp:coreProperties>
</file>